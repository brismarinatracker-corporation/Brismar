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E" sheetId="1" state="visible" r:id="rId3"/>
    <sheet name="CDP TRIBUTARIOS" sheetId="2" state="visible" r:id="rId4"/>
    <sheet name="EEFF SUNAT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<sst xmlns="http://schemas.openxmlformats.org/spreadsheetml/2006/main" count="127" uniqueCount="115">
  <si>
    <t xml:space="preserve">🐙  BRIS MAR</t>
  </si>
  <si>
    <t xml:space="preserve">CUADRE DE PESCA</t>
  </si>
  <si>
    <t xml:space="preserve">PLACA:</t>
  </si>
  <si>
    <t xml:space="preserve">N° CAJAS:</t>
  </si>
  <si>
    <t xml:space="preserve">FECHA:</t>
  </si>
  <si>
    <t xml:space="preserve">MARGEN:</t>
  </si>
  <si>
    <t xml:space="preserve">COMPRA  (E.P. — En Planta)</t>
  </si>
  <si>
    <t xml:space="preserve">FECHA</t>
  </si>
  <si>
    <t xml:space="preserve">EMBARCACIÓN</t>
  </si>
  <si>
    <t xml:space="preserve">PRODUCTO</t>
  </si>
  <si>
    <t xml:space="preserve">KILOS</t>
  </si>
  <si>
    <t xml:space="preserve">PRECIO</t>
  </si>
  <si>
    <t xml:space="preserve">TOTAL</t>
  </si>
  <si>
    <t xml:space="preserve">TOTAL COMPRA</t>
  </si>
  <si>
    <t xml:space="preserve">(2)</t>
  </si>
  <si>
    <t xml:space="preserve">VENTA</t>
  </si>
  <si>
    <t xml:space="preserve">LUGAR</t>
  </si>
  <si>
    <t xml:space="preserve">TOTAL VENTA</t>
  </si>
  <si>
    <t xml:space="preserve">(1)</t>
  </si>
  <si>
    <t xml:space="preserve">RENDIMIENTO (kg venta − kg compra)</t>
  </si>
  <si>
    <t xml:space="preserve">GASTOS DE MUELLE</t>
  </si>
  <si>
    <t xml:space="preserve">GASTOS ADMINISTRATIVOS</t>
  </si>
  <si>
    <t xml:space="preserve">DETALLE</t>
  </si>
  <si>
    <t xml:space="preserve">CANT./IMPORTE</t>
  </si>
  <si>
    <t xml:space="preserve">PRECIO UNIT.</t>
  </si>
  <si>
    <t xml:space="preserve">IMPORTE</t>
  </si>
  <si>
    <t xml:space="preserve">FACTURACIÓN</t>
  </si>
  <si>
    <t xml:space="preserve">FACTURACIÓN (0.1% venta)</t>
  </si>
  <si>
    <t xml:space="preserve">PERSONAL</t>
  </si>
  <si>
    <t xml:space="preserve">PESADOR</t>
  </si>
  <si>
    <t xml:space="preserve">GAST. FINANCIEROS</t>
  </si>
  <si>
    <t xml:space="preserve">APOYO</t>
  </si>
  <si>
    <t xml:space="preserve">OTROS GASTOS</t>
  </si>
  <si>
    <t xml:space="preserve">AGUA</t>
  </si>
  <si>
    <t xml:space="preserve">CERTIFICADO SANITARIO</t>
  </si>
  <si>
    <t xml:space="preserve">CLOROX</t>
  </si>
  <si>
    <t xml:space="preserve">LIQUIDACIÓN</t>
  </si>
  <si>
    <t xml:space="preserve">HIELO</t>
  </si>
  <si>
    <t xml:space="preserve">IMPUESTO RENTA (3%)</t>
  </si>
  <si>
    <t xml:space="preserve">FLETE</t>
  </si>
  <si>
    <t xml:space="preserve">CDP / LIQUIDACIÓN COMPRA</t>
  </si>
  <si>
    <t xml:space="preserve">OTROS</t>
  </si>
  <si>
    <t xml:space="preserve">GASTOS BANCO/FINANCIERO</t>
  </si>
  <si>
    <t xml:space="preserve">REINHIELADA</t>
  </si>
  <si>
    <t xml:space="preserve">TOTAL GASTOS MUELLE</t>
  </si>
  <si>
    <t xml:space="preserve">(3)</t>
  </si>
  <si>
    <t xml:space="preserve">TOTAL GASTOS ADMIN.</t>
  </si>
  <si>
    <t xml:space="preserve">(4)</t>
  </si>
  <si>
    <t xml:space="preserve">UTILIDAD BRUTA  (Venta − Compra)</t>
  </si>
  <si>
    <t xml:space="preserve">UTILIDAD OPERATIVA  (− Gs. Muelle)</t>
  </si>
  <si>
    <t xml:space="preserve">UTILIDAD ANTES REPARTO  (− Gs. Admin.)</t>
  </si>
  <si>
    <t xml:space="preserve">UTILIDAD DE TERCEROS (30%)</t>
  </si>
  <si>
    <t xml:space="preserve">RESUMEN FINANCIERO</t>
  </si>
  <si>
    <t xml:space="preserve">(1)  VENTA</t>
  </si>
  <si>
    <t xml:space="preserve">(2)  COMPRA</t>
  </si>
  <si>
    <t xml:space="preserve">(3)  GASTOS MUELLE</t>
  </si>
  <si>
    <t xml:space="preserve">(4)  GASTOS ADMIN.</t>
  </si>
  <si>
    <t xml:space="preserve">UTILIDAD NETA</t>
  </si>
  <si>
    <t xml:space="preserve">% EMPRESA</t>
  </si>
  <si>
    <t xml:space="preserve">S/.</t>
  </si>
  <si>
    <t xml:space="preserve">% DANIEL</t>
  </si>
  <si>
    <t xml:space="preserve">COMPRA</t>
  </si>
  <si>
    <t xml:space="preserve">RENDIMIENTO</t>
  </si>
  <si>
    <t xml:space="preserve">N° CAJAS</t>
  </si>
  <si>
    <t xml:space="preserve">KG TOTAL</t>
  </si>
  <si>
    <t xml:space="preserve">LEYENDA:</t>
  </si>
  <si>
    <t xml:space="preserve">Celda a llenar</t>
  </si>
  <si>
    <t xml:space="preserve">Calculado auto</t>
  </si>
  <si>
    <t xml:space="preserve">Resultado clave</t>
  </si>
  <si>
    <t xml:space="preserve">Bloqueado</t>
  </si>
  <si>
    <t xml:space="preserve">CDP TRIBUTARIOS — DOCUMENTOS SUSTENTO</t>
  </si>
  <si>
    <t xml:space="preserve">LIQUIDACIONES DE COMPRA SUSTENTADAS</t>
  </si>
  <si>
    <t xml:space="preserve">TOTAL LIQUIDACIONES</t>
  </si>
  <si>
    <t xml:space="preserve">IMPORTE REFERENTE (Venta/1.04)</t>
  </si>
  <si>
    <t xml:space="preserve">FACTURAS DE TRANSPORTE (FLETE)</t>
  </si>
  <si>
    <t xml:space="preserve">TOTAL FACTURAS FLETE</t>
  </si>
  <si>
    <t xml:space="preserve">IMPORTE REFERENTE (Flete en cuadre)</t>
  </si>
  <si>
    <t xml:space="preserve">FACTURAS DE HIELO</t>
  </si>
  <si>
    <t xml:space="preserve">TOTAL FACTURAS HIELO</t>
  </si>
  <si>
    <t xml:space="preserve">ESTADO DE RESULTADOS — CONTABLE / TRIBUTARIO</t>
  </si>
  <si>
    <t xml:space="preserve">CONCEPTO</t>
  </si>
  <si>
    <t xml:space="preserve">SUNAT (S/.)</t>
  </si>
  <si>
    <t xml:space="preserve">% SUNAT</t>
  </si>
  <si>
    <t xml:space="preserve">REAL (S/.)</t>
  </si>
  <si>
    <t xml:space="preserve">% REAL</t>
  </si>
  <si>
    <t xml:space="preserve">VENTAS / INGRESOS</t>
  </si>
  <si>
    <t xml:space="preserve">COSTO DE VENTAS (liquidaciones)</t>
  </si>
  <si>
    <t xml:space="preserve">UTILIDAD BRUTA</t>
  </si>
  <si>
    <t xml:space="preserve">GASTOS DE VENTAS (transporte)</t>
  </si>
  <si>
    <t xml:space="preserve">UTILIDAD ANTES DE IMPUESTOS</t>
  </si>
  <si>
    <t xml:space="preserve">IMPUESTO A LA RENTA (29.5%)</t>
  </si>
  <si>
    <t xml:space="preserve">🐙  BRIS MAR — GUÍA DE USO DE LA PLANTILLA</t>
  </si>
  <si>
    <t xml:space="preserve">CÓMO LLENAR LA PLANTILLA</t>
  </si>
  <si>
    <t xml:space="preserve">1. Ir a la hoja CUADRE</t>
  </si>
  <si>
    <t xml:space="preserve">2. Llenar: PLACA (I1), N° CAJAS (L1), FECHA (O1)</t>
  </si>
  <si>
    <t xml:space="preserve">3. Ingresar compras E.P.: fecha, embarcación, producto, kilos, precio (filas 5-9)</t>
  </si>
  <si>
    <t xml:space="preserve">4. Ingresar ventas cuando lleguen: fecha, lugar, producto, kilos, precio (filas 14-17)</t>
  </si>
  <si>
    <t xml:space="preserve">5. Ingresar gastos de muelle (filas 24-33): fijos = solo importe, variables = cantidad + precio/unidad</t>
  </si>
  <si>
    <t xml:space="preserve">6. Gastos admin. (I24:J33): pesador, otros se llenan a mano. Facturación, financieros e imp. renta son automáticos</t>
  </si>
  <si>
    <t xml:space="preserve">7. Ajustar porcentaje de reparto en B48 y B49 (default 50/50)</t>
  </si>
  <si>
    <t xml:space="preserve">CELDAS DE COLOR</t>
  </si>
  <si>
    <t xml:space="preserve">🟡 AMARILLO SUAVE  → Celda a llenar (input del usuario)</t>
  </si>
  <si>
    <t xml:space="preserve">🟠 NARANJA        → Calculado automáticamente</t>
  </si>
  <si>
    <t xml:space="preserve">🟡 AMARILLO VIVO  → Resultado clave (utilidades, totales)</t>
  </si>
  <si>
    <t xml:space="preserve">⬜ GRIS           → Bloqueado — no editar</t>
  </si>
  <si>
    <t xml:space="preserve">CONTRASEÑA DE DESBLOQUEO</t>
  </si>
  <si>
    <t xml:space="preserve">Si necesitas editar una celda protegida: Revisar → Desproteger hoja → brismar2024</t>
  </si>
  <si>
    <t xml:space="preserve">HOJAS DEL ARCHIVO</t>
  </si>
  <si>
    <t xml:space="preserve">• CUADRE          → Hoja principal, aquí se llena todo</t>
  </si>
  <si>
    <t xml:space="preserve">• CDP TRIBUTARIOS → Documentos sustento para SUNAT</t>
  </si>
  <si>
    <t xml:space="preserve">• EEFF SUNAT      → Estado de resultados contable vs real</t>
  </si>
  <si>
    <t xml:space="preserve">• INSTRUCCIONES   → Esta hoja</t>
  </si>
  <si>
    <t xml:space="preserve">DESDE LA APP FLUTTER</t>
  </si>
  <si>
    <t xml:space="preserve">La app generará este mismo archivo con los datos ya llenados.</t>
  </si>
  <si>
    <t xml:space="preserve">Solo abre el .xlsx recibido — todo estará calculado y formateado.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</si>
</sst>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#,##0"/>
    <numFmt numFmtId="167" formatCode="dd/mm/yy"/>
    <numFmt numFmtId="168" formatCode="0.00%"/>
    <numFmt numFmtId="169" formatCode="#,##0.0"/>
    <numFmt numFmtId="170" formatCode="#,##0.00"/>
    <numFmt numFmtId="171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7B4D"/>
      <name val="Arial"/>
      <family val="0"/>
      <charset val="1"/>
    </font>
    <font>
      <b val="true"/>
      <sz val="13"/>
      <color rgb="FF1E4E79"/>
      <name val="Arial"/>
      <family val="0"/>
      <charset val="1"/>
    </font>
    <font>
      <b val="true"/>
      <sz val="10"/>
      <color rgb="FF1E4E79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E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E4E7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1E4E79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00"/>
      <name val="Arial"/>
      <family val="0"/>
      <charset val="1"/>
    </font>
    <font>
      <b val="true"/>
      <sz val="11"/>
      <color rgb="FFFFFF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2E7D32"/>
      <name val="Arial"/>
      <family val="0"/>
      <charset val="1"/>
    </font>
    <font>
      <sz val="10"/>
      <color rgb="FFFF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DD6EE"/>
        <bgColor rgb="FF99CCFF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1E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D32"/>
        <bgColor rgb="FF1F7B4D"/>
      </patternFill>
    </fill>
    <fill>
      <patternFill patternType="solid">
        <fgColor rgb="FF555555"/>
        <bgColor rgb="FF1E4E79"/>
      </patternFill>
    </fill>
    <fill>
      <patternFill patternType="solid">
        <fgColor rgb="FF777777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1565C0"/>
        <bgColor rgb="FF3366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7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B4D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1565C0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2E7D32"/>
      <rgbColor rgb="FF003300"/>
      <rgbColor rgb="FF333300"/>
      <rgbColor rgb="FF993300"/>
      <rgbColor rgb="FF993366"/>
      <rgbColor rgb="FF1E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22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8" min="7" style="1" width="3"/>
    <col collapsed="false" customWidth="true" hidden="false" outlineLevel="0" max="9" min="9" style="1" width="16"/>
    <col collapsed="false" customWidth="true" hidden="false" outlineLevel="0" max="11" min="10" style="1" width="14"/>
    <col collapsed="false" customWidth="true" hidden="false" outlineLevel="0" max="13" min="12" style="1" width="3"/>
    <col collapsed="false" customWidth="true" hidden="false" outlineLevel="0" max="14" min="14" style="1" width="20"/>
    <col collapsed="false" customWidth="true" hidden="false" outlineLevel="0" max="15" min="15" style="1" width="3"/>
    <col collapsed="false" customWidth="true" hidden="false" outlineLevel="0" max="16" min="16" style="1" width="12"/>
  </cols>
  <sheetData>
    <row r="1" customFormat="false" ht="30" hidden="false" customHeight="true" outlineLevel="0" collapsed="false">
      <c r="A1" s="2" t="s">
        <v>0</v>
      </c>
      <c r="B1" s="2"/>
      <c r="C1" s="3" t="s">
        <v>1</v>
      </c>
      <c r="D1" s="3"/>
      <c r="E1" s="3"/>
      <c r="F1" s="3"/>
      <c r="H1" s="4" t="s">
        <v>2</v>
      </c>
      <c r="I1" s="5"/>
      <c r="J1" s="5"/>
      <c r="K1" s="6" t="s">
        <v>3</v>
      </c>
      <c r="L1" s="7"/>
      <c r="N1" s="6" t="s">
        <v>4</v>
      </c>
      <c r="O1" s="8"/>
      <c r="P1" s="8"/>
    </row>
    <row r="2" customFormat="false" ht="13.5" hidden="false" customHeight="true" outlineLevel="0" collapsed="false">
      <c r="N2" s="9" t="s">
        <v>5</v>
      </c>
      <c r="O2" s="10" t="str">
        <f aca="false">IFERROR(D46/F18,"")</f>
        <v/>
      </c>
      <c r="P2" s="10"/>
    </row>
    <row r="3" customFormat="false" ht="18" hidden="false" customHeight="true" outlineLevel="0" collapsed="false">
      <c r="A3" s="11" t="s">
        <v>6</v>
      </c>
      <c r="B3" s="11"/>
      <c r="C3" s="11"/>
      <c r="D3" s="11"/>
      <c r="E3" s="11"/>
      <c r="F3" s="11"/>
    </row>
    <row r="4" customFormat="false" ht="16.5" hidden="false" customHeight="true" outlineLevel="0" collapsed="false">
      <c r="A4" s="12" t="s">
        <v>7</v>
      </c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</row>
    <row r="5" customFormat="false" ht="15.75" hidden="false" customHeight="true" outlineLevel="0" collapsed="false">
      <c r="A5" s="13"/>
      <c r="B5" s="14"/>
      <c r="C5" s="15"/>
      <c r="D5" s="16"/>
      <c r="E5" s="17"/>
      <c r="F5" s="18" t="str">
        <f aca="false">IF(D5="","",ROUNDDOWN(D5*E5,0))</f>
        <v/>
      </c>
    </row>
    <row r="6" customFormat="false" ht="15.75" hidden="false" customHeight="true" outlineLevel="0" collapsed="false">
      <c r="A6" s="13"/>
      <c r="B6" s="14"/>
      <c r="C6" s="15"/>
      <c r="D6" s="16"/>
      <c r="E6" s="17"/>
      <c r="F6" s="18" t="str">
        <f aca="false">IF(D6="","",ROUNDDOWN(D6*E6,0))</f>
        <v/>
      </c>
    </row>
    <row r="7" customFormat="false" ht="15.75" hidden="false" customHeight="true" outlineLevel="0" collapsed="false">
      <c r="A7" s="13"/>
      <c r="B7" s="14"/>
      <c r="C7" s="15"/>
      <c r="D7" s="16"/>
      <c r="E7" s="17"/>
      <c r="F7" s="18" t="str">
        <f aca="false">IF(D7="","",ROUNDDOWN(D7*E7,0))</f>
        <v/>
      </c>
    </row>
    <row r="8" customFormat="false" ht="15.75" hidden="false" customHeight="true" outlineLevel="0" collapsed="false">
      <c r="A8" s="13"/>
      <c r="B8" s="14"/>
      <c r="C8" s="15"/>
      <c r="D8" s="16"/>
      <c r="E8" s="17"/>
      <c r="F8" s="18" t="str">
        <f aca="false">IF(D8="","",ROUNDDOWN(D8*E8,0))</f>
        <v/>
      </c>
    </row>
    <row r="9" customFormat="false" ht="15.75" hidden="false" customHeight="true" outlineLevel="0" collapsed="false">
      <c r="A9" s="13"/>
      <c r="B9" s="14"/>
      <c r="C9" s="15"/>
      <c r="D9" s="16"/>
      <c r="E9" s="17"/>
      <c r="F9" s="18" t="str">
        <f aca="false">IF(D9="","",ROUNDDOWN(D9*E9,0))</f>
        <v/>
      </c>
    </row>
    <row r="10" customFormat="false" ht="16.5" hidden="false" customHeight="true" outlineLevel="0" collapsed="false">
      <c r="A10" s="12" t="s">
        <v>13</v>
      </c>
      <c r="B10" s="19"/>
      <c r="C10" s="19"/>
      <c r="D10" s="20" t="n">
        <f aca="false">IFERROR(SUM(D5:D9),0)</f>
        <v>0</v>
      </c>
      <c r="E10" s="21"/>
      <c r="F10" s="22" t="n">
        <f aca="false">IFERROR(SUM(F5:F9),0)</f>
        <v>0</v>
      </c>
      <c r="G10" s="23" t="s">
        <v>14</v>
      </c>
    </row>
    <row r="11" customFormat="false" ht="6" hidden="false" customHeight="true" outlineLevel="0" collapsed="false"/>
    <row r="12" customFormat="false" ht="18" hidden="false" customHeight="true" outlineLevel="0" collapsed="false">
      <c r="A12" s="24" t="s">
        <v>15</v>
      </c>
      <c r="B12" s="24"/>
      <c r="C12" s="24"/>
      <c r="D12" s="24"/>
      <c r="E12" s="24"/>
      <c r="F12" s="24"/>
    </row>
    <row r="13" customFormat="false" ht="16.5" hidden="false" customHeight="true" outlineLevel="0" collapsed="false">
      <c r="A13" s="25" t="s">
        <v>7</v>
      </c>
      <c r="B13" s="25" t="s">
        <v>16</v>
      </c>
      <c r="C13" s="25" t="s">
        <v>9</v>
      </c>
      <c r="D13" s="25" t="s">
        <v>10</v>
      </c>
      <c r="E13" s="25" t="s">
        <v>11</v>
      </c>
      <c r="F13" s="25" t="s">
        <v>12</v>
      </c>
    </row>
    <row r="14" customFormat="false" ht="15.75" hidden="false" customHeight="true" outlineLevel="0" collapsed="false">
      <c r="A14" s="13"/>
      <c r="B14" s="14"/>
      <c r="C14" s="15"/>
      <c r="D14" s="16"/>
      <c r="E14" s="17"/>
      <c r="F14" s="18" t="str">
        <f aca="false">IF(D14="","",ROUNDDOWN(D14*E14,0))</f>
        <v/>
      </c>
    </row>
    <row r="15" customFormat="false" ht="15.75" hidden="false" customHeight="true" outlineLevel="0" collapsed="false">
      <c r="A15" s="13"/>
      <c r="B15" s="14"/>
      <c r="C15" s="15"/>
      <c r="D15" s="16"/>
      <c r="E15" s="17"/>
      <c r="F15" s="18" t="str">
        <f aca="false">IF(D15="","",ROUNDDOWN(D15*E15,0))</f>
        <v/>
      </c>
    </row>
    <row r="16" customFormat="false" ht="15.75" hidden="false" customHeight="true" outlineLevel="0" collapsed="false">
      <c r="A16" s="13"/>
      <c r="B16" s="14"/>
      <c r="C16" s="15"/>
      <c r="D16" s="16"/>
      <c r="E16" s="17"/>
      <c r="F16" s="18" t="str">
        <f aca="false">IF(D16="","",ROUNDDOWN(D16*E16,0))</f>
        <v/>
      </c>
    </row>
    <row r="17" customFormat="false" ht="15.75" hidden="false" customHeight="true" outlineLevel="0" collapsed="false">
      <c r="A17" s="13"/>
      <c r="B17" s="14"/>
      <c r="C17" s="15"/>
      <c r="D17" s="16"/>
      <c r="E17" s="17"/>
      <c r="F17" s="18" t="str">
        <f aca="false">IF(D17="","",ROUNDDOWN(D17*E17,0))</f>
        <v/>
      </c>
    </row>
    <row r="18" customFormat="false" ht="16.5" hidden="false" customHeight="true" outlineLevel="0" collapsed="false">
      <c r="A18" s="25" t="s">
        <v>17</v>
      </c>
      <c r="B18" s="26"/>
      <c r="C18" s="26"/>
      <c r="D18" s="20" t="n">
        <f aca="false">IFERROR(SUM(D14:D17),0)</f>
        <v>0</v>
      </c>
      <c r="E18" s="27"/>
      <c r="F18" s="28" t="n">
        <f aca="false">IFERROR(SUM(F14:F17),0)</f>
        <v>0</v>
      </c>
      <c r="G18" s="29" t="s">
        <v>18</v>
      </c>
    </row>
    <row r="19" customFormat="false" ht="6" hidden="false" customHeight="true" outlineLevel="0" collapsed="false"/>
    <row r="20" customFormat="false" ht="16.5" hidden="false" customHeight="true" outlineLevel="0" collapsed="false">
      <c r="A20" s="30" t="s">
        <v>19</v>
      </c>
      <c r="B20" s="30"/>
      <c r="C20" s="30"/>
      <c r="D20" s="31" t="n">
        <f aca="false">D18-D10</f>
        <v>0</v>
      </c>
    </row>
    <row r="21" customFormat="false" ht="6" hidden="false" customHeight="true" outlineLevel="0" collapsed="false"/>
    <row r="22" customFormat="false" ht="18" hidden="false" customHeight="true" outlineLevel="0" collapsed="false">
      <c r="A22" s="32" t="s">
        <v>20</v>
      </c>
      <c r="B22" s="32"/>
      <c r="C22" s="32"/>
      <c r="D22" s="32"/>
      <c r="E22" s="32"/>
      <c r="F22" s="32"/>
      <c r="I22" s="33" t="s">
        <v>21</v>
      </c>
      <c r="J22" s="33"/>
      <c r="K22" s="33"/>
    </row>
    <row r="23" customFormat="false" ht="15" hidden="false" customHeight="true" outlineLevel="0" collapsed="false">
      <c r="C23" s="34" t="s">
        <v>22</v>
      </c>
      <c r="D23" s="35" t="s">
        <v>23</v>
      </c>
      <c r="E23" s="35" t="s">
        <v>24</v>
      </c>
      <c r="F23" s="35" t="s">
        <v>12</v>
      </c>
      <c r="I23" s="36" t="s">
        <v>22</v>
      </c>
      <c r="J23" s="37" t="s">
        <v>25</v>
      </c>
      <c r="K23" s="36" t="s">
        <v>25</v>
      </c>
    </row>
    <row r="24" customFormat="false" ht="15.75" hidden="false" customHeight="true" outlineLevel="0" collapsed="false">
      <c r="C24" s="38" t="s">
        <v>26</v>
      </c>
      <c r="D24" s="17"/>
      <c r="E24" s="39"/>
      <c r="F24" s="18" t="n">
        <f aca="false">IF(D24="",0,D24)</f>
        <v>0</v>
      </c>
      <c r="I24" s="38" t="s">
        <v>27</v>
      </c>
      <c r="J24" s="18" t="n">
        <f aca="false">IFERROR(ROUNDDOWN(F18*0.001*100,0),0)</f>
        <v>0</v>
      </c>
      <c r="K24" s="39"/>
    </row>
    <row r="25" customFormat="false" ht="15.75" hidden="false" customHeight="true" outlineLevel="0" collapsed="false">
      <c r="C25" s="38" t="s">
        <v>28</v>
      </c>
      <c r="D25" s="16"/>
      <c r="E25" s="17"/>
      <c r="F25" s="18" t="n">
        <f aca="false">IF(D25="",0,ROUNDDOWN(D25*E25,0))</f>
        <v>0</v>
      </c>
      <c r="I25" s="38" t="s">
        <v>29</v>
      </c>
      <c r="J25" s="40"/>
      <c r="K25" s="39"/>
    </row>
    <row r="26" customFormat="false" ht="15.75" hidden="false" customHeight="true" outlineLevel="0" collapsed="false">
      <c r="C26" s="38" t="s">
        <v>29</v>
      </c>
      <c r="D26" s="17"/>
      <c r="E26" s="39"/>
      <c r="F26" s="18" t="n">
        <f aca="false">IF(D26="",0,D26)</f>
        <v>0</v>
      </c>
      <c r="I26" s="38" t="s">
        <v>30</v>
      </c>
      <c r="J26" s="18" t="n">
        <f aca="false">IF(F18&lt;50000,50,IF(F18&lt;100000,100,150))</f>
        <v>50</v>
      </c>
      <c r="K26" s="39"/>
    </row>
    <row r="27" customFormat="false" ht="15.75" hidden="false" customHeight="true" outlineLevel="0" collapsed="false">
      <c r="C27" s="38" t="s">
        <v>31</v>
      </c>
      <c r="D27" s="17"/>
      <c r="E27" s="39"/>
      <c r="F27" s="18" t="n">
        <f aca="false">IF(D27="",0,D27)</f>
        <v>0</v>
      </c>
      <c r="I27" s="38" t="s">
        <v>32</v>
      </c>
      <c r="J27" s="40"/>
      <c r="K27" s="39"/>
    </row>
    <row r="28" customFormat="false" ht="15.75" hidden="false" customHeight="true" outlineLevel="0" collapsed="false">
      <c r="C28" s="38" t="s">
        <v>33</v>
      </c>
      <c r="D28" s="17"/>
      <c r="E28" s="39"/>
      <c r="F28" s="18" t="n">
        <f aca="false">IF(D28="",0,D28)</f>
        <v>0</v>
      </c>
      <c r="I28" s="38" t="s">
        <v>34</v>
      </c>
      <c r="J28" s="40"/>
      <c r="K28" s="39"/>
    </row>
    <row r="29" customFormat="false" ht="15.75" hidden="false" customHeight="true" outlineLevel="0" collapsed="false">
      <c r="C29" s="38" t="s">
        <v>35</v>
      </c>
      <c r="D29" s="17"/>
      <c r="E29" s="39"/>
      <c r="F29" s="18" t="n">
        <f aca="false">IF(D29="",0,D29)</f>
        <v>0</v>
      </c>
      <c r="I29" s="38" t="s">
        <v>36</v>
      </c>
      <c r="J29" s="18" t="n">
        <f aca="false">IFERROR(ROUNDDOWN(F18*0.001,0)*10,0)</f>
        <v>0</v>
      </c>
      <c r="K29" s="39"/>
    </row>
    <row r="30" customFormat="false" ht="15.75" hidden="false" customHeight="true" outlineLevel="0" collapsed="false">
      <c r="C30" s="38" t="s">
        <v>37</v>
      </c>
      <c r="D30" s="16"/>
      <c r="E30" s="17"/>
      <c r="F30" s="18" t="n">
        <f aca="false">IF(D30="",0,ROUNDDOWN(D30*E30,0))</f>
        <v>0</v>
      </c>
      <c r="I30" s="38" t="s">
        <v>38</v>
      </c>
      <c r="J30" s="18" t="n">
        <f aca="false">IFERROR(ROUNDDOWN(0.03*F18,0),0)</f>
        <v>0</v>
      </c>
      <c r="K30" s="39"/>
    </row>
    <row r="31" customFormat="false" ht="15.75" hidden="false" customHeight="true" outlineLevel="0" collapsed="false">
      <c r="C31" s="38" t="s">
        <v>39</v>
      </c>
      <c r="D31" s="16"/>
      <c r="E31" s="17"/>
      <c r="F31" s="18" t="n">
        <f aca="false">IF(D31="",0,ROUNDDOWN(D31*E31,0))</f>
        <v>0</v>
      </c>
      <c r="I31" s="38" t="s">
        <v>40</v>
      </c>
      <c r="J31" s="40"/>
      <c r="K31" s="39"/>
    </row>
    <row r="32" customFormat="false" ht="15.75" hidden="false" customHeight="true" outlineLevel="0" collapsed="false">
      <c r="C32" s="38" t="s">
        <v>41</v>
      </c>
      <c r="D32" s="17"/>
      <c r="E32" s="39"/>
      <c r="F32" s="18" t="n">
        <f aca="false">IF(D32="",0,D32)</f>
        <v>0</v>
      </c>
      <c r="I32" s="38" t="s">
        <v>42</v>
      </c>
      <c r="J32" s="40"/>
      <c r="K32" s="39"/>
    </row>
    <row r="33" customFormat="false" ht="15.75" hidden="false" customHeight="true" outlineLevel="0" collapsed="false">
      <c r="C33" s="38" t="s">
        <v>43</v>
      </c>
      <c r="D33" s="16"/>
      <c r="E33" s="17"/>
      <c r="F33" s="18" t="n">
        <f aca="false">IF(D33="",0,ROUNDDOWN(D33*E33,0))</f>
        <v>0</v>
      </c>
      <c r="I33" s="38"/>
      <c r="J33" s="39"/>
      <c r="K33" s="39"/>
    </row>
    <row r="34" customFormat="false" ht="16.5" hidden="false" customHeight="true" outlineLevel="0" collapsed="false">
      <c r="C34" s="12" t="s">
        <v>44</v>
      </c>
      <c r="D34" s="19"/>
      <c r="E34" s="19"/>
      <c r="F34" s="22" t="n">
        <f aca="false">SUM(F24:F33)</f>
        <v>0</v>
      </c>
      <c r="G34" s="23" t="s">
        <v>45</v>
      </c>
      <c r="I34" s="41" t="s">
        <v>46</v>
      </c>
      <c r="J34" s="22" t="n">
        <f aca="false">IFERROR(ROUNDDOWN(SUM(J24:J33),0),0)</f>
        <v>50</v>
      </c>
      <c r="K34" s="42" t="s">
        <v>47</v>
      </c>
    </row>
    <row r="35" customFormat="false" ht="6" hidden="false" customHeight="true" outlineLevel="0" collapsed="false"/>
    <row r="36" customFormat="false" ht="16.5" hidden="false" customHeight="true" outlineLevel="0" collapsed="false">
      <c r="A36" s="43" t="s">
        <v>48</v>
      </c>
      <c r="B36" s="43"/>
      <c r="C36" s="43"/>
      <c r="D36" s="44" t="n">
        <f aca="false">F18-F10</f>
        <v>0</v>
      </c>
      <c r="E36" s="45" t="str">
        <f aca="false">IFERROR(F18-F10/F18,"")</f>
        <v/>
      </c>
    </row>
    <row r="37" customFormat="false" ht="16.5" hidden="false" customHeight="true" outlineLevel="0" collapsed="false">
      <c r="A37" s="46" t="s">
        <v>49</v>
      </c>
      <c r="B37" s="46"/>
      <c r="C37" s="46"/>
      <c r="D37" s="47" t="n">
        <f aca="false">D36-F34</f>
        <v>0</v>
      </c>
      <c r="E37" s="48" t="str">
        <f aca="false">IFERROR(D36-F34/F18,"")</f>
        <v/>
      </c>
    </row>
    <row r="38" customFormat="false" ht="16.5" hidden="false" customHeight="true" outlineLevel="0" collapsed="false">
      <c r="A38" s="46" t="s">
        <v>50</v>
      </c>
      <c r="B38" s="46"/>
      <c r="C38" s="46"/>
      <c r="D38" s="47" t="n">
        <f aca="false">D37-J34</f>
        <v>-50</v>
      </c>
      <c r="E38" s="48" t="str">
        <f aca="false">IFERROR(D37-J34/F18,"")</f>
        <v/>
      </c>
    </row>
    <row r="39" customFormat="false" ht="15.75" hidden="false" customHeight="true" outlineLevel="0" collapsed="false">
      <c r="A39" s="49" t="s">
        <v>51</v>
      </c>
      <c r="B39" s="49"/>
      <c r="C39" s="49"/>
      <c r="D39" s="22" t="n">
        <f aca="false">IFERROR(ROUNDDOWN(D38*0.3,0),0)</f>
        <v>-15</v>
      </c>
    </row>
    <row r="40" customFormat="false" ht="6" hidden="false" customHeight="true" outlineLevel="0" collapsed="false"/>
    <row r="41" customFormat="false" ht="18" hidden="false" customHeight="true" outlineLevel="0" collapsed="false">
      <c r="A41" s="11" t="s">
        <v>52</v>
      </c>
      <c r="B41" s="11"/>
      <c r="C41" s="11"/>
      <c r="D41" s="11"/>
      <c r="E41" s="11"/>
      <c r="F41" s="11"/>
    </row>
    <row r="42" customFormat="false" ht="15.75" hidden="false" customHeight="true" outlineLevel="0" collapsed="false">
      <c r="A42" s="50" t="s">
        <v>53</v>
      </c>
      <c r="B42" s="51"/>
      <c r="C42" s="51"/>
      <c r="D42" s="52" t="n">
        <f aca="false">F18</f>
        <v>0</v>
      </c>
    </row>
    <row r="43" customFormat="false" ht="15.75" hidden="false" customHeight="true" outlineLevel="0" collapsed="false">
      <c r="A43" s="50" t="s">
        <v>54</v>
      </c>
      <c r="B43" s="51"/>
      <c r="C43" s="51"/>
      <c r="D43" s="52" t="n">
        <f aca="false">-F10</f>
        <v>-0</v>
      </c>
    </row>
    <row r="44" customFormat="false" ht="15.75" hidden="false" customHeight="true" outlineLevel="0" collapsed="false">
      <c r="A44" s="50" t="s">
        <v>55</v>
      </c>
      <c r="B44" s="51"/>
      <c r="C44" s="51"/>
      <c r="D44" s="52" t="n">
        <f aca="false">-F34</f>
        <v>-0</v>
      </c>
    </row>
    <row r="45" customFormat="false" ht="15.75" hidden="false" customHeight="true" outlineLevel="0" collapsed="false">
      <c r="A45" s="50" t="s">
        <v>56</v>
      </c>
      <c r="B45" s="51"/>
      <c r="C45" s="51"/>
      <c r="D45" s="52" t="n">
        <f aca="false">-J34</f>
        <v>-50</v>
      </c>
    </row>
    <row r="46" customFormat="false" ht="19.5" hidden="false" customHeight="true" outlineLevel="0" collapsed="false">
      <c r="A46" s="53" t="s">
        <v>57</v>
      </c>
      <c r="B46" s="53"/>
      <c r="C46" s="53"/>
      <c r="D46" s="54" t="n">
        <f aca="false">SUM(D42:D45)</f>
        <v>-50</v>
      </c>
      <c r="E46" s="55" t="str">
        <f aca="false">IFERROR(D46/F18,"")</f>
        <v/>
      </c>
    </row>
    <row r="47" customFormat="false" ht="6" hidden="false" customHeight="true" outlineLevel="0" collapsed="false"/>
    <row r="48" customFormat="false" ht="16.5" hidden="false" customHeight="true" outlineLevel="0" collapsed="false">
      <c r="A48" s="56" t="s">
        <v>58</v>
      </c>
      <c r="B48" s="57" t="n">
        <v>0.5</v>
      </c>
      <c r="C48" s="58" t="n">
        <f aca="false">IFERROR(ROUNDDOWN(D46*B48,0),0)</f>
        <v>-25</v>
      </c>
      <c r="D48" s="56" t="s">
        <v>59</v>
      </c>
    </row>
    <row r="49" customFormat="false" ht="16.5" hidden="false" customHeight="true" outlineLevel="0" collapsed="false">
      <c r="A49" s="56" t="s">
        <v>60</v>
      </c>
      <c r="B49" s="57" t="n">
        <v>0.5</v>
      </c>
      <c r="C49" s="58" t="n">
        <f aca="false">IFERROR(ROUNDDOWN(D46*B49,0),0)</f>
        <v>-25</v>
      </c>
    </row>
    <row r="50" customFormat="false" ht="15.75" hidden="false" customHeight="true" outlineLevel="0" collapsed="false"/>
    <row r="51" customFormat="false" ht="6" hidden="false" customHeight="true" outlineLevel="0" collapsed="false"/>
    <row r="52" customFormat="false" ht="15" hidden="false" customHeight="true" outlineLevel="0" collapsed="false">
      <c r="A52" s="59" t="s">
        <v>15</v>
      </c>
      <c r="B52" s="59" t="s">
        <v>61</v>
      </c>
      <c r="C52" s="59" t="s">
        <v>62</v>
      </c>
      <c r="D52" s="59" t="s">
        <v>63</v>
      </c>
      <c r="E52" s="59" t="s">
        <v>64</v>
      </c>
    </row>
    <row r="53" customFormat="false" ht="15.75" hidden="false" customHeight="true" outlineLevel="0" collapsed="false">
      <c r="A53" s="60" t="n">
        <f aca="false">F18</f>
        <v>0</v>
      </c>
      <c r="B53" s="60" t="n">
        <f aca="false">F10</f>
        <v>0</v>
      </c>
      <c r="C53" s="61" t="n">
        <f aca="false">D18-D10</f>
        <v>0</v>
      </c>
      <c r="D53" s="60" t="n">
        <f aca="false">L1</f>
        <v>0</v>
      </c>
      <c r="E53" s="62" t="n">
        <f aca="false">D18</f>
        <v>0</v>
      </c>
    </row>
    <row r="54" customFormat="false" ht="15.75" hidden="false" customHeight="true" outlineLevel="0" collapsed="false"/>
    <row r="55" customFormat="false" ht="6" hidden="false" customHeight="true" outlineLevel="0" collapsed="false"/>
    <row r="56" customFormat="false" ht="13.5" hidden="false" customHeight="true" outlineLevel="0" collapsed="false">
      <c r="A56" s="63" t="s">
        <v>65</v>
      </c>
      <c r="B56" s="64" t="s">
        <v>66</v>
      </c>
      <c r="D56" s="65" t="s">
        <v>67</v>
      </c>
      <c r="F56" s="66" t="s">
        <v>68</v>
      </c>
      <c r="H56" s="67" t="s">
        <v>69</v>
      </c>
    </row>
    <row r="57" customFormat="false" ht="13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</sheetData>
  <sheetProtection sheet="true" password="ddd6"/>
  <mergeCells count="23">
    <mergeCell ref="A1:B1"/>
    <mergeCell ref="C1:F1"/>
    <mergeCell ref="I1:J1"/>
    <mergeCell ref="O1:P1"/>
    <mergeCell ref="O2:P2"/>
    <mergeCell ref="A3:F3"/>
    <mergeCell ref="B10:C10"/>
    <mergeCell ref="A12:F12"/>
    <mergeCell ref="B18:C18"/>
    <mergeCell ref="A20:C20"/>
    <mergeCell ref="A22:F22"/>
    <mergeCell ref="I22:K22"/>
    <mergeCell ref="D34:E34"/>
    <mergeCell ref="A36:C36"/>
    <mergeCell ref="A37:C37"/>
    <mergeCell ref="A38:C38"/>
    <mergeCell ref="A39:C39"/>
    <mergeCell ref="A41:F41"/>
    <mergeCell ref="B42:C42"/>
    <mergeCell ref="B43:C43"/>
    <mergeCell ref="B44:C44"/>
    <mergeCell ref="B45:C45"/>
    <mergeCell ref="A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14"/>
  </cols>
  <sheetData>
    <row r="1" customFormat="false" ht="15.75" hidden="false" customHeight="true" outlineLevel="0" collapsed="false">
      <c r="B1" s="11" t="s">
        <v>70</v>
      </c>
      <c r="C1" s="11"/>
      <c r="D1" s="11"/>
    </row>
    <row r="2" customFormat="false" ht="15.75" hidden="false" customHeight="true" outlineLevel="0" collapsed="false"/>
    <row r="3" customFormat="false" ht="18" hidden="false" customHeight="true" outlineLevel="0" collapsed="false">
      <c r="B3" s="68" t="s">
        <v>71</v>
      </c>
      <c r="C3" s="68"/>
      <c r="D3" s="68"/>
    </row>
    <row r="4" customFormat="false" ht="15" hidden="false" customHeight="true" outlineLevel="0" collapsed="false">
      <c r="B4" s="69" t="n">
        <v>1</v>
      </c>
      <c r="C4" s="17"/>
      <c r="D4" s="70"/>
    </row>
    <row r="5" customFormat="false" ht="15" hidden="false" customHeight="true" outlineLevel="0" collapsed="false">
      <c r="B5" s="69" t="n">
        <v>2</v>
      </c>
      <c r="C5" s="17"/>
      <c r="D5" s="70"/>
    </row>
    <row r="6" customFormat="false" ht="15" hidden="false" customHeight="true" outlineLevel="0" collapsed="false">
      <c r="B6" s="69" t="n">
        <v>3</v>
      </c>
      <c r="C6" s="17"/>
      <c r="D6" s="70"/>
    </row>
    <row r="7" customFormat="false" ht="15" hidden="false" customHeight="true" outlineLevel="0" collapsed="false">
      <c r="B7" s="69" t="n">
        <v>4</v>
      </c>
      <c r="C7" s="17"/>
      <c r="D7" s="70"/>
    </row>
    <row r="8" customFormat="false" ht="15" hidden="false" customHeight="true" outlineLevel="0" collapsed="false">
      <c r="B8" s="69" t="n">
        <v>5</v>
      </c>
      <c r="C8" s="17"/>
      <c r="D8" s="70"/>
    </row>
    <row r="9" customFormat="false" ht="15.75" hidden="false" customHeight="true" outlineLevel="0" collapsed="false">
      <c r="B9" s="71" t="s">
        <v>72</v>
      </c>
      <c r="C9" s="72" t="n">
        <f aca="false">SUM(C4:C8)</f>
        <v>0</v>
      </c>
    </row>
    <row r="10" customFormat="false" ht="15.75" hidden="false" customHeight="true" outlineLevel="0" collapsed="false">
      <c r="B10" s="38" t="s">
        <v>73</v>
      </c>
      <c r="C10" s="73" t="n">
        <f aca="false">IFERROR(CUADRE!F18/1.04,0)</f>
        <v>0</v>
      </c>
    </row>
    <row r="11" customFormat="false" ht="15.75" hidden="false" customHeight="true" outlineLevel="0" collapsed="false"/>
    <row r="12" customFormat="false" ht="18" hidden="false" customHeight="true" outlineLevel="0" collapsed="false">
      <c r="B12" s="68" t="s">
        <v>74</v>
      </c>
      <c r="C12" s="68"/>
      <c r="D12" s="68"/>
    </row>
    <row r="13" customFormat="false" ht="15" hidden="false" customHeight="true" outlineLevel="0" collapsed="false">
      <c r="B13" s="69" t="n">
        <v>1</v>
      </c>
      <c r="C13" s="17"/>
      <c r="D13" s="70"/>
    </row>
    <row r="14" customFormat="false" ht="15" hidden="false" customHeight="true" outlineLevel="0" collapsed="false">
      <c r="B14" s="69" t="n">
        <v>2</v>
      </c>
      <c r="C14" s="17"/>
      <c r="D14" s="70"/>
    </row>
    <row r="15" customFormat="false" ht="15" hidden="false" customHeight="true" outlineLevel="0" collapsed="false">
      <c r="B15" s="69" t="n">
        <v>3</v>
      </c>
      <c r="C15" s="17"/>
      <c r="D15" s="70"/>
    </row>
    <row r="16" customFormat="false" ht="15.75" hidden="false" customHeight="true" outlineLevel="0" collapsed="false">
      <c r="B16" s="71" t="s">
        <v>75</v>
      </c>
      <c r="C16" s="72" t="n">
        <f aca="false">SUM(C13:C15)</f>
        <v>0</v>
      </c>
    </row>
    <row r="17" customFormat="false" ht="15.75" hidden="false" customHeight="true" outlineLevel="0" collapsed="false">
      <c r="B17" s="38" t="s">
        <v>76</v>
      </c>
      <c r="C17" s="73" t="n">
        <f aca="false">IFERROR(CUADRE!F31,0)</f>
        <v>0</v>
      </c>
    </row>
    <row r="18" customFormat="false" ht="15.75" hidden="false" customHeight="true" outlineLevel="0" collapsed="false"/>
    <row r="19" customFormat="false" ht="18" hidden="false" customHeight="true" outlineLevel="0" collapsed="false">
      <c r="B19" s="68" t="s">
        <v>77</v>
      </c>
      <c r="C19" s="68"/>
      <c r="D19" s="68"/>
    </row>
    <row r="20" customFormat="false" ht="15" hidden="false" customHeight="true" outlineLevel="0" collapsed="false">
      <c r="B20" s="69" t="n">
        <v>1</v>
      </c>
      <c r="C20" s="17"/>
      <c r="D20" s="70"/>
    </row>
    <row r="21" customFormat="false" ht="15" hidden="false" customHeight="true" outlineLevel="0" collapsed="false">
      <c r="B21" s="69" t="n">
        <v>2</v>
      </c>
      <c r="C21" s="17"/>
      <c r="D21" s="70"/>
    </row>
    <row r="22" customFormat="false" ht="15" hidden="false" customHeight="true" outlineLevel="0" collapsed="false">
      <c r="B22" s="69" t="n">
        <v>3</v>
      </c>
      <c r="C22" s="17"/>
      <c r="D22" s="70"/>
    </row>
    <row r="23" customFormat="false" ht="15.75" hidden="false" customHeight="true" outlineLevel="0" collapsed="false">
      <c r="B23" s="71" t="s">
        <v>78</v>
      </c>
      <c r="C23" s="72" t="n">
        <f aca="false">SUM(C20:C22)</f>
        <v>0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</sheetData>
  <sheetProtection sheet="true" password="ddd6"/>
  <mergeCells count="4">
    <mergeCell ref="B1:D1"/>
    <mergeCell ref="B3:D3"/>
    <mergeCell ref="B12:D12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4"/>
    <col collapsed="false" customWidth="true" hidden="false" outlineLevel="0" max="4" min="4" style="1" width="14"/>
    <col collapsed="false" customWidth="true" hidden="false" outlineLevel="0" max="5" min="5" style="1" width="4"/>
    <col collapsed="false" customWidth="true" hidden="false" outlineLevel="0" max="6" min="6" style="1" width="14"/>
    <col collapsed="false" customWidth="true" hidden="false" outlineLevel="0" max="7" min="7" style="1" width="4"/>
    <col collapsed="false" customWidth="true" hidden="false" outlineLevel="0" max="9" min="8" style="1" width="12"/>
  </cols>
  <sheetData>
    <row r="1" customFormat="false" ht="15.75" hidden="false" customHeight="true" outlineLevel="0" collapsed="false">
      <c r="B1" s="11" t="s">
        <v>79</v>
      </c>
      <c r="C1" s="11"/>
      <c r="D1" s="11"/>
      <c r="E1" s="11"/>
      <c r="F1" s="11"/>
      <c r="G1" s="11"/>
      <c r="H1" s="11"/>
      <c r="I1" s="11"/>
    </row>
    <row r="2" customFormat="false" ht="15.75" hidden="false" customHeight="true" outlineLevel="0" collapsed="false"/>
    <row r="3" customFormat="false" ht="16.5" hidden="false" customHeight="true" outlineLevel="0" collapsed="false">
      <c r="B3" s="12" t="s">
        <v>80</v>
      </c>
      <c r="D3" s="12" t="s">
        <v>81</v>
      </c>
      <c r="F3" s="12" t="s">
        <v>82</v>
      </c>
      <c r="H3" s="12" t="s">
        <v>83</v>
      </c>
      <c r="I3" s="12" t="s">
        <v>84</v>
      </c>
    </row>
    <row r="4" customFormat="false" ht="15.75" hidden="false" customHeight="true" outlineLevel="0" collapsed="false"/>
    <row r="5" customFormat="false" ht="16.5" hidden="false" customHeight="true" outlineLevel="0" collapsed="false">
      <c r="B5" s="74" t="s">
        <v>85</v>
      </c>
      <c r="D5" s="75" t="n">
        <f aca="false">CUADRE!F18</f>
        <v>0</v>
      </c>
      <c r="H5" s="28" t="n">
        <f aca="false">CUADRE!F18</f>
        <v>0</v>
      </c>
    </row>
    <row r="6" customFormat="false" ht="15.75" hidden="false" customHeight="true" outlineLevel="0" collapsed="false"/>
    <row r="7" customFormat="false" ht="16.5" hidden="false" customHeight="true" outlineLevel="0" collapsed="false">
      <c r="B7" s="74" t="s">
        <v>86</v>
      </c>
      <c r="D7" s="75" t="n">
        <f aca="false">'CDP TRIBUTARIOS'!C9</f>
        <v>0</v>
      </c>
      <c r="F7" s="76" t="str">
        <f aca="false">IFERROR(D7/D5,"")</f>
        <v/>
      </c>
      <c r="H7" s="28" t="n">
        <f aca="false">CUADRE!F10</f>
        <v>0</v>
      </c>
      <c r="I7" s="77" t="str">
        <f aca="false">IFERROR(H7/H5,"")</f>
        <v/>
      </c>
    </row>
    <row r="8" customFormat="false" ht="15.75" hidden="false" customHeight="true" outlineLevel="0" collapsed="false"/>
    <row r="9" customFormat="false" ht="16.5" hidden="false" customHeight="true" outlineLevel="0" collapsed="false">
      <c r="B9" s="74" t="s">
        <v>87</v>
      </c>
      <c r="D9" s="75" t="n">
        <f aca="false">D5-D7</f>
        <v>0</v>
      </c>
      <c r="F9" s="76" t="str">
        <f aca="false">IFERROR(D9/D5,"")</f>
        <v/>
      </c>
      <c r="H9" s="28" t="n">
        <f aca="false">H5-H7</f>
        <v>0</v>
      </c>
      <c r="I9" s="77" t="str">
        <f aca="false">IFERROR(H9/H5,"")</f>
        <v/>
      </c>
    </row>
    <row r="10" customFormat="false" ht="15.75" hidden="false" customHeight="true" outlineLevel="0" collapsed="false"/>
    <row r="11" customFormat="false" ht="16.5" hidden="false" customHeight="true" outlineLevel="0" collapsed="false">
      <c r="B11" s="74" t="s">
        <v>21</v>
      </c>
      <c r="D11" s="75" t="n">
        <f aca="false">'CDP TRIBUTARIOS'!C16+'CDP TRIBUTARIOS'!C23</f>
        <v>0</v>
      </c>
      <c r="F11" s="76" t="str">
        <f aca="false">IFERROR(D11/D5,"")</f>
        <v/>
      </c>
      <c r="H11" s="28" t="n">
        <f aca="false">CUADRE!F34+CUADRE!J34</f>
        <v>50</v>
      </c>
      <c r="I11" s="77" t="str">
        <f aca="false">IFERROR(H11/H5,"")</f>
        <v/>
      </c>
    </row>
    <row r="12" customFormat="false" ht="16.5" hidden="false" customHeight="true" outlineLevel="0" collapsed="false">
      <c r="B12" s="74" t="s">
        <v>88</v>
      </c>
      <c r="D12" s="75" t="n">
        <f aca="false">'CDP TRIBUTARIOS'!C16</f>
        <v>0</v>
      </c>
      <c r="F12" s="76" t="str">
        <f aca="false">IFERROR(D12/D5,"")</f>
        <v/>
      </c>
      <c r="H12" s="28" t="n">
        <f aca="false">CUADRE!F31</f>
        <v>0</v>
      </c>
      <c r="I12" s="77" t="str">
        <f aca="false">IFERROR(H12/H5,"")</f>
        <v/>
      </c>
    </row>
    <row r="13" customFormat="false" ht="15.75" hidden="false" customHeight="true" outlineLevel="0" collapsed="false"/>
    <row r="14" customFormat="false" ht="16.5" hidden="false" customHeight="true" outlineLevel="0" collapsed="false">
      <c r="B14" s="74" t="s">
        <v>89</v>
      </c>
      <c r="D14" s="75" t="n">
        <f aca="false">D9-D11-D12</f>
        <v>0</v>
      </c>
      <c r="F14" s="76" t="str">
        <f aca="false">IFERROR(D14/D5,"")</f>
        <v/>
      </c>
      <c r="H14" s="28" t="n">
        <f aca="false">H9-H11</f>
        <v>-50</v>
      </c>
      <c r="I14" s="77" t="str">
        <f aca="false">IFERROR(H14/H5,"")</f>
        <v/>
      </c>
    </row>
    <row r="15" customFormat="false" ht="15.75" hidden="false" customHeight="true" outlineLevel="0" collapsed="false"/>
    <row r="16" customFormat="false" ht="16.5" hidden="false" customHeight="true" outlineLevel="0" collapsed="false">
      <c r="B16" s="74" t="s">
        <v>90</v>
      </c>
      <c r="D16" s="75" t="n">
        <f aca="false">D14*0.295</f>
        <v>0</v>
      </c>
      <c r="F16" s="76" t="str">
        <f aca="false">IFERROR(D16/D5,"")</f>
        <v/>
      </c>
      <c r="H16" s="28" t="n">
        <f aca="false">CUADRE!J34</f>
        <v>50</v>
      </c>
      <c r="I16" s="77" t="str">
        <f aca="false">IFERROR(H16/H5,"")</f>
        <v/>
      </c>
    </row>
    <row r="17" customFormat="false" ht="15.75" hidden="false" customHeight="true" outlineLevel="0" collapsed="false"/>
    <row r="18" customFormat="false" ht="16.5" hidden="false" customHeight="true" outlineLevel="0" collapsed="false">
      <c r="B18" s="74" t="s">
        <v>57</v>
      </c>
      <c r="D18" s="75" t="n">
        <f aca="false">D14-D16</f>
        <v>0</v>
      </c>
      <c r="F18" s="76" t="str">
        <f aca="false">IFERROR(D18/D5,"")</f>
        <v/>
      </c>
      <c r="H18" s="28" t="n">
        <f aca="false">H14-H16</f>
        <v>-100</v>
      </c>
      <c r="I18" s="77" t="str">
        <f aca="false">IFERROR(H18/H5,"")</f>
        <v/>
      </c>
    </row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</sheetData>
  <sheetProtection sheet="true" password="ddd6"/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30"/>
  </cols>
  <sheetData>
    <row r="1" customFormat="false" ht="18" hidden="false" customHeight="true" outlineLevel="0" collapsed="false">
      <c r="A1" s="78" t="s">
        <v>91</v>
      </c>
    </row>
    <row r="3" customFormat="false" ht="18" hidden="false" customHeight="true" outlineLevel="0" collapsed="false">
      <c r="A3" s="79" t="s">
        <v>92</v>
      </c>
    </row>
    <row r="4" customFormat="false" ht="18" hidden="false" customHeight="true" outlineLevel="0" collapsed="false">
      <c r="A4" s="80" t="s">
        <v>93</v>
      </c>
    </row>
    <row r="5" customFormat="false" ht="18" hidden="false" customHeight="true" outlineLevel="0" collapsed="false">
      <c r="A5" s="80" t="s">
        <v>94</v>
      </c>
    </row>
    <row r="6" customFormat="false" ht="18" hidden="false" customHeight="true" outlineLevel="0" collapsed="false">
      <c r="A6" s="80" t="s">
        <v>95</v>
      </c>
    </row>
    <row r="7" customFormat="false" ht="18" hidden="false" customHeight="true" outlineLevel="0" collapsed="false">
      <c r="A7" s="80" t="s">
        <v>96</v>
      </c>
    </row>
    <row r="8" customFormat="false" ht="18" hidden="false" customHeight="true" outlineLevel="0" collapsed="false">
      <c r="A8" s="80" t="s">
        <v>97</v>
      </c>
    </row>
    <row r="9" customFormat="false" ht="18" hidden="false" customHeight="true" outlineLevel="0" collapsed="false">
      <c r="A9" s="80" t="s">
        <v>98</v>
      </c>
    </row>
    <row r="10" customFormat="false" ht="18" hidden="false" customHeight="true" outlineLevel="0" collapsed="false">
      <c r="A10" s="80" t="s">
        <v>99</v>
      </c>
    </row>
    <row r="12" customFormat="false" ht="18" hidden="false" customHeight="true" outlineLevel="0" collapsed="false">
      <c r="A12" s="79" t="s">
        <v>100</v>
      </c>
    </row>
    <row r="13" customFormat="false" ht="18" hidden="false" customHeight="true" outlineLevel="0" collapsed="false">
      <c r="A13" s="80" t="s">
        <v>101</v>
      </c>
    </row>
    <row r="14" customFormat="false" ht="18" hidden="false" customHeight="true" outlineLevel="0" collapsed="false">
      <c r="A14" s="80" t="s">
        <v>102</v>
      </c>
    </row>
    <row r="15" customFormat="false" ht="18" hidden="false" customHeight="true" outlineLevel="0" collapsed="false">
      <c r="A15" s="80" t="s">
        <v>103</v>
      </c>
    </row>
    <row r="16" customFormat="false" ht="18" hidden="false" customHeight="true" outlineLevel="0" collapsed="false">
      <c r="A16" s="80" t="s">
        <v>104</v>
      </c>
    </row>
    <row r="18" customFormat="false" ht="18" hidden="false" customHeight="true" outlineLevel="0" collapsed="false">
      <c r="A18" s="81" t="s">
        <v>105</v>
      </c>
    </row>
    <row r="19" customFormat="false" ht="18" hidden="false" customHeight="true" outlineLevel="0" collapsed="false">
      <c r="A19" s="82" t="s">
        <v>106</v>
      </c>
    </row>
    <row r="21" customFormat="false" ht="18" hidden="false" customHeight="true" outlineLevel="0" collapsed="false">
      <c r="A21" s="79" t="s">
        <v>107</v>
      </c>
    </row>
    <row r="22" customFormat="false" ht="18" hidden="false" customHeight="true" outlineLevel="0" collapsed="false">
      <c r="A22" s="80" t="s">
        <v>108</v>
      </c>
    </row>
    <row r="23" customFormat="false" ht="18" hidden="false" customHeight="true" outlineLevel="0" collapsed="false">
      <c r="A23" s="80" t="s">
        <v>109</v>
      </c>
    </row>
    <row r="24" customFormat="false" ht="18" hidden="false" customHeight="true" outlineLevel="0" collapsed="false">
      <c r="A24" s="80" t="s">
        <v>110</v>
      </c>
    </row>
    <row r="25" customFormat="false" ht="18" hidden="false" customHeight="true" outlineLevel="0" collapsed="false">
      <c r="A25" s="80" t="s">
        <v>111</v>
      </c>
    </row>
    <row r="27" customFormat="false" ht="18" hidden="false" customHeight="true" outlineLevel="0" collapsed="false">
      <c r="A27" s="79" t="s">
        <v>112</v>
      </c>
    </row>
    <row r="28" customFormat="false" ht="18" hidden="false" customHeight="true" outlineLevel="0" collapsed="false">
      <c r="A28" s="80" t="s">
        <v>113</v>
      </c>
    </row>
    <row r="29" customFormat="false" ht="18" hidden="false" customHeight="true" outlineLevel="0" collapsed="false">
      <c r="A29" s="80" t="s">
        <v>114</v>
      </c>
    </row>
  </sheetData>
  <sheetProtection sheet="true" password="dd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2026-06-25T20:25:32Z</dcterms:created>
  <dc:creator>Bris Mar</dc:creator>
  <dc:description/>
  <cp:keywords>pota cuadre gastos utilidad</cp:keywords>
  <dc:language>en-US</dc:language>
  <cp:lastModifiedBy/>
  <dcterms:modified xsi:type="dcterms:W3CDTF">2026-06-25T20:25:52Z</dcterms:modified>
  <cp:revision>0</cp:revision>
  <dc:subject>Control de cuadres de pesca</dc:subject>
  <dc:title>Plantilla Cuadre Bris Mar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