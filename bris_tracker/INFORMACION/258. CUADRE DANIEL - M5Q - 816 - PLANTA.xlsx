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4G" sheetId="1" r:id="rId4"/>
    <sheet state="visible" name="CDP TRIBUTARIOS" sheetId="2" r:id="rId5"/>
    <sheet state="visible" name="EEFF SUNAT" sheetId="3" r:id="rId6"/>
    <sheet state="visible" name="Copia de C5G - 826" sheetId="4" r:id="rId7"/>
  </sheets>
  <definedNames/>
  <calcPr/>
  <extLst>
    <ext uri="GoogleSheetsCustomDataVersion2">
      <go:sheetsCustomData xmlns:go="http://customooxmlschemas.google.com/" r:id="rId8" roundtripDataChecksum="jpm6y1k80FYDz4kwyYbriKjV8ufeveoWhmCxerHMwcg="/>
    </ext>
  </extLst>
</workbook>
</file>

<file path=xl/sharedStrings.xml><?xml version="1.0" encoding="utf-8"?>
<sst xmlns="http://schemas.openxmlformats.org/spreadsheetml/2006/main" count="153" uniqueCount="80">
  <si>
    <t>PLACA M5Q - 816</t>
  </si>
  <si>
    <t>CAJAS</t>
  </si>
  <si>
    <t>MARGEN</t>
  </si>
  <si>
    <t>COMPRA</t>
  </si>
  <si>
    <t>FECHA</t>
  </si>
  <si>
    <t>EMBARCACION</t>
  </si>
  <si>
    <t>PRODUCTO</t>
  </si>
  <si>
    <t>KILOS</t>
  </si>
  <si>
    <t>PRECIO</t>
  </si>
  <si>
    <t>TOTAL</t>
  </si>
  <si>
    <t>VIRGEN MARIA</t>
  </si>
  <si>
    <t>1°</t>
  </si>
  <si>
    <t>JUAN CARLOS</t>
  </si>
  <si>
    <t>TENIENTE GALVEZ</t>
  </si>
  <si>
    <t>(2)</t>
  </si>
  <si>
    <t>VENTA</t>
  </si>
  <si>
    <t>LUGAR</t>
  </si>
  <si>
    <t>EL MAYOR</t>
  </si>
  <si>
    <t>POTA</t>
  </si>
  <si>
    <t xml:space="preserve">TOTAL VENTA </t>
  </si>
  <si>
    <t>(1)</t>
  </si>
  <si>
    <t>RENDIMIENTO</t>
  </si>
  <si>
    <t>UTILIDAD BRUTA</t>
  </si>
  <si>
    <t>GASTOS MUELLE</t>
  </si>
  <si>
    <t>DETALLE</t>
  </si>
  <si>
    <t>IMPORTE</t>
  </si>
  <si>
    <t xml:space="preserve">FACTURACION  </t>
  </si>
  <si>
    <t>PERSONAL 6.5 TN*90</t>
  </si>
  <si>
    <t>PESADOR</t>
  </si>
  <si>
    <t>APOYO</t>
  </si>
  <si>
    <t>AGUA</t>
  </si>
  <si>
    <t>CLOROX</t>
  </si>
  <si>
    <t>HIELO 2 TN*120</t>
  </si>
  <si>
    <t xml:space="preserve">FLETE </t>
  </si>
  <si>
    <t>OTROS</t>
  </si>
  <si>
    <t>(3)</t>
  </si>
  <si>
    <t>UTILIDAD OPERATIVA</t>
  </si>
  <si>
    <t>GASTOS ADMINISTRATIVO</t>
  </si>
  <si>
    <t>FACTURACION (0.1)</t>
  </si>
  <si>
    <t>GAST. FINANCIEROS</t>
  </si>
  <si>
    <t>OTROS GASTOS</t>
  </si>
  <si>
    <t>CERTIFICADO</t>
  </si>
  <si>
    <t>LIQUIDACION</t>
  </si>
  <si>
    <t>IMPUESTO RENTA</t>
  </si>
  <si>
    <t>(4)</t>
  </si>
  <si>
    <t>UT. ANTES DE REPARTO</t>
  </si>
  <si>
    <t>UTILIDAD DE TERCEROS</t>
  </si>
  <si>
    <t>RESUMEN</t>
  </si>
  <si>
    <t>UTILIDAD NETA</t>
  </si>
  <si>
    <t>EMPRESA</t>
  </si>
  <si>
    <t>DANIEL</t>
  </si>
  <si>
    <t>LIQUIDACION DE COMPRA SUSTENTADAS</t>
  </si>
  <si>
    <t>TOTAL LIQUIDACIONES DE COMPRAS</t>
  </si>
  <si>
    <t>IMPORTE REFERENTE</t>
  </si>
  <si>
    <t>FACTURAS DE TRANSPORTE</t>
  </si>
  <si>
    <t>TOTAL DE FACTURAS</t>
  </si>
  <si>
    <t>FACTURAS DE HIELO</t>
  </si>
  <si>
    <t>TOTAL FACTURAS</t>
  </si>
  <si>
    <t>ESTADO DE RESULTADO CONTABLES /TRIBUTARIOS</t>
  </si>
  <si>
    <t>SUNAT</t>
  </si>
  <si>
    <t>REAL</t>
  </si>
  <si>
    <t>VENTAS - INGRESOS</t>
  </si>
  <si>
    <t>COSTO DE VENTAS (LIQ)</t>
  </si>
  <si>
    <t>GASTOS ADMINISTRATIVOS</t>
  </si>
  <si>
    <t>AQUI SOLO</t>
  </si>
  <si>
    <t>GASTOS DE VENTAS</t>
  </si>
  <si>
    <t>TRASNPORTE</t>
  </si>
  <si>
    <t>GASTOS FINANCIEROS</t>
  </si>
  <si>
    <t>UTILIDAD ANTES DE IMPUESTOS</t>
  </si>
  <si>
    <t>IMPUESTO A LA RENTA</t>
  </si>
  <si>
    <t>PLACA  TET - TOD</t>
  </si>
  <si>
    <t>DON HUMBERTO</t>
  </si>
  <si>
    <t>PERSONAL</t>
  </si>
  <si>
    <t>CATANA</t>
  </si>
  <si>
    <t>TINA</t>
  </si>
  <si>
    <t>HIELO</t>
  </si>
  <si>
    <t>FLETE</t>
  </si>
  <si>
    <t>CORPESMAR</t>
  </si>
  <si>
    <t>OLAYA Y DE LA CONCHA</t>
  </si>
  <si>
    <t>PLACA M5U - 911 // MEGUI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</si>
</sst>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 * #,##0_ ;_ * \-#,##0_ ;_ * &quot;-&quot;??_ ;_ @_ "/>
    <numFmt numFmtId="165" formatCode="_ * #,##0.00_ ;_ * \-#,##0.00_ ;_ * &quot;-&quot;??_ ;_ @_ "/>
    <numFmt numFmtId="166" formatCode="_-* #,##0.0_-;\-* #,##0.0_-;_-* &quot;-&quot;??_-;_-@"/>
    <numFmt numFmtId="167" formatCode="_ * #,##0.0_ ;_ * \-#,##0.0_ ;_ * &quot;-&quot;??_ ;_ @_ "/>
  </numFmts>
  <fonts count="11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color theme="1"/>
      <name val="Calibri"/>
    </font>
    <font>
      <b/>
      <sz val="11.0"/>
      <color rgb="FFFF0000"/>
      <name val="Calibri"/>
    </font>
    <font>
      <b/>
      <sz val="11.0"/>
      <color rgb="FF002060"/>
      <name val="Calibri"/>
    </font>
    <font>
      <color theme="1"/>
      <name val="Calibri"/>
      <scheme val="minor"/>
    </font>
    <font>
      <b/>
      <sz val="11.0"/>
      <color theme="0"/>
      <name val="Calibri"/>
    </font>
    <font>
      <sz val="11.0"/>
      <color rgb="FFFF0000"/>
      <name val="Calibri"/>
    </font>
    <font>
      <b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1E4E79"/>
        <bgColor rgb="FF1E4E79"/>
      </patternFill>
    </fill>
    <fill>
      <patternFill patternType="solid">
        <fgColor rgb="FFD9EAD3"/>
        <bgColor rgb="FFD9EAD3"/>
      </patternFill>
    </fill>
  </fills>
  <borders count="24">
    <border/>
    <border>
      <left/>
      <top/>
      <bottom/>
    </border>
    <border>
      <top/>
      <bottom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/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0" fontId="2" numFmtId="0" xfId="0" applyBorder="1" applyFont="1"/>
    <xf borderId="0" fillId="2" fontId="1" numFmtId="0" xfId="0" applyAlignment="1" applyFont="1">
      <alignment horizontal="center" vertical="center"/>
    </xf>
    <xf borderId="3" fillId="2" fontId="1" numFmtId="0" xfId="0" applyAlignment="1" applyBorder="1" applyFont="1">
      <alignment horizontal="center" vertical="center"/>
    </xf>
    <xf borderId="0" fillId="0" fontId="3" numFmtId="14" xfId="0" applyFont="1" applyNumberFormat="1"/>
    <xf borderId="0" fillId="0" fontId="3" numFmtId="0" xfId="0" applyAlignment="1" applyFont="1">
      <alignment horizontal="center"/>
    </xf>
    <xf borderId="0" fillId="0" fontId="3" numFmtId="164" xfId="0" applyFont="1" applyNumberFormat="1"/>
    <xf borderId="0" fillId="0" fontId="3" numFmtId="165" xfId="0" applyFont="1" applyNumberFormat="1"/>
    <xf borderId="4" fillId="3" fontId="1" numFmtId="0" xfId="0" applyAlignment="1" applyBorder="1" applyFill="1" applyFont="1">
      <alignment vertical="center"/>
    </xf>
    <xf borderId="5" fillId="0" fontId="1" numFmtId="0" xfId="0" applyAlignment="1" applyBorder="1" applyFont="1">
      <alignment vertical="center"/>
    </xf>
    <xf borderId="6" fillId="0" fontId="1" numFmtId="10" xfId="0" applyAlignment="1" applyBorder="1" applyFont="1" applyNumberFormat="1">
      <alignment vertical="center"/>
    </xf>
    <xf borderId="7" fillId="2" fontId="1" numFmtId="14" xfId="0" applyAlignment="1" applyBorder="1" applyFont="1" applyNumberFormat="1">
      <alignment horizontal="center"/>
    </xf>
    <xf borderId="7" fillId="0" fontId="2" numFmtId="0" xfId="0" applyBorder="1" applyFont="1"/>
    <xf borderId="0" fillId="0" fontId="4" numFmtId="0" xfId="0" applyFont="1"/>
    <xf borderId="8" fillId="0" fontId="1" numFmtId="0" xfId="0" applyAlignment="1" applyBorder="1" applyFont="1">
      <alignment horizontal="center"/>
    </xf>
    <xf borderId="8" fillId="0" fontId="1" numFmtId="164" xfId="0" applyAlignment="1" applyBorder="1" applyFont="1" applyNumberFormat="1">
      <alignment horizontal="center"/>
    </xf>
    <xf borderId="8" fillId="0" fontId="1" numFmtId="165" xfId="0" applyAlignment="1" applyBorder="1" applyFont="1" applyNumberFormat="1">
      <alignment horizontal="center"/>
    </xf>
    <xf borderId="0" fillId="0" fontId="3" numFmtId="16" xfId="0" applyAlignment="1" applyFont="1" applyNumberFormat="1">
      <alignment readingOrder="0"/>
    </xf>
    <xf borderId="0" fillId="0" fontId="3" numFmtId="0" xfId="0" applyAlignment="1" applyFont="1">
      <alignment horizontal="center" readingOrder="0"/>
    </xf>
    <xf borderId="0" fillId="0" fontId="3" numFmtId="164" xfId="0" applyAlignment="1" applyFont="1" applyNumberFormat="1">
      <alignment readingOrder="0"/>
    </xf>
    <xf borderId="0" fillId="0" fontId="3" numFmtId="4" xfId="0" applyAlignment="1" applyFont="1" applyNumberFormat="1">
      <alignment readingOrder="0"/>
    </xf>
    <xf borderId="0" fillId="0" fontId="3" numFmtId="0" xfId="0" applyFont="1"/>
    <xf borderId="0" fillId="0" fontId="3" numFmtId="16" xfId="0" applyFont="1" applyNumberFormat="1"/>
    <xf borderId="9" fillId="0" fontId="1" numFmtId="165" xfId="0" applyBorder="1" applyFont="1" applyNumberFormat="1"/>
    <xf borderId="9" fillId="0" fontId="3" numFmtId="165" xfId="0" applyBorder="1" applyFont="1" applyNumberFormat="1"/>
    <xf quotePrefix="1" borderId="0" fillId="0" fontId="1" numFmtId="0" xfId="0" applyFont="1"/>
    <xf borderId="0" fillId="0" fontId="3" numFmtId="0" xfId="0" applyAlignment="1" applyFont="1">
      <alignment vertical="bottom"/>
    </xf>
    <xf borderId="0" fillId="3" fontId="5" numFmtId="4" xfId="0" applyAlignment="1" applyFont="1" applyNumberFormat="1">
      <alignment horizontal="right" vertical="bottom"/>
    </xf>
    <xf borderId="8" fillId="0" fontId="1" numFmtId="14" xfId="0" applyAlignment="1" applyBorder="1" applyFont="1" applyNumberFormat="1">
      <alignment horizontal="center"/>
    </xf>
    <xf borderId="10" fillId="0" fontId="1" numFmtId="164" xfId="0" applyAlignment="1" applyBorder="1" applyFont="1" applyNumberFormat="1">
      <alignment horizontal="center"/>
    </xf>
    <xf borderId="11" fillId="0" fontId="3" numFmtId="166" xfId="0" applyAlignment="1" applyBorder="1" applyFont="1" applyNumberFormat="1">
      <alignment horizontal="right" readingOrder="0" vertical="bottom"/>
    </xf>
    <xf borderId="0" fillId="0" fontId="3" numFmtId="165" xfId="0" applyAlignment="1" applyFont="1" applyNumberFormat="1">
      <alignment readingOrder="0"/>
    </xf>
    <xf borderId="0" fillId="0" fontId="3" numFmtId="165" xfId="0" applyAlignment="1" applyFont="1" applyNumberFormat="1">
      <alignment horizontal="right" vertical="bottom"/>
    </xf>
    <xf borderId="0" fillId="0" fontId="3" numFmtId="166" xfId="0" applyAlignment="1" applyFont="1" applyNumberFormat="1">
      <alignment horizontal="right" readingOrder="0" vertical="bottom"/>
    </xf>
    <xf borderId="7" fillId="0" fontId="3" numFmtId="166" xfId="0" applyAlignment="1" applyBorder="1" applyFont="1" applyNumberFormat="1">
      <alignment horizontal="right" vertical="bottom"/>
    </xf>
    <xf borderId="7" fillId="0" fontId="3" numFmtId="165" xfId="0" applyAlignment="1" applyBorder="1" applyFont="1" applyNumberFormat="1">
      <alignment horizontal="right" vertical="bottom"/>
    </xf>
    <xf borderId="0" fillId="0" fontId="1" numFmtId="0" xfId="0" applyAlignment="1" applyFont="1">
      <alignment horizontal="left"/>
    </xf>
    <xf borderId="12" fillId="0" fontId="1" numFmtId="165" xfId="0" applyBorder="1" applyFont="1" applyNumberFormat="1"/>
    <xf borderId="13" fillId="0" fontId="1" numFmtId="165" xfId="0" applyBorder="1" applyFont="1" applyNumberFormat="1"/>
    <xf borderId="0" fillId="3" fontId="1" numFmtId="165" xfId="0" applyAlignment="1" applyFont="1" applyNumberFormat="1">
      <alignment horizontal="right" vertical="bottom"/>
    </xf>
    <xf borderId="0" fillId="0" fontId="3" numFmtId="167" xfId="0" applyFont="1" applyNumberFormat="1"/>
    <xf borderId="4" fillId="4" fontId="1" numFmtId="14" xfId="0" applyAlignment="1" applyBorder="1" applyFill="1" applyFont="1" applyNumberFormat="1">
      <alignment vertical="center"/>
    </xf>
    <xf borderId="5" fillId="4" fontId="3" numFmtId="14" xfId="0" applyAlignment="1" applyBorder="1" applyFont="1" applyNumberFormat="1">
      <alignment vertical="center"/>
    </xf>
    <xf borderId="5" fillId="4" fontId="3" numFmtId="0" xfId="0" applyAlignment="1" applyBorder="1" applyFont="1">
      <alignment horizontal="center" vertical="center"/>
    </xf>
    <xf borderId="6" fillId="4" fontId="6" numFmtId="167" xfId="0" applyAlignment="1" applyBorder="1" applyFont="1" applyNumberFormat="1">
      <alignment vertical="center"/>
    </xf>
    <xf borderId="0" fillId="4" fontId="1" numFmtId="165" xfId="0" applyAlignment="1" applyFont="1" applyNumberFormat="1">
      <alignment vertical="bottom"/>
    </xf>
    <xf borderId="0" fillId="4" fontId="1" numFmtId="165" xfId="0" applyAlignment="1" applyFont="1" applyNumberFormat="1">
      <alignment horizontal="right" vertical="bottom"/>
    </xf>
    <xf borderId="0" fillId="4" fontId="3" numFmtId="0" xfId="0" applyAlignment="1" applyFont="1">
      <alignment vertical="bottom"/>
    </xf>
    <xf borderId="0" fillId="4" fontId="1" numFmtId="10" xfId="0" applyAlignment="1" applyFont="1" applyNumberFormat="1">
      <alignment horizontal="right" vertical="bottom"/>
    </xf>
    <xf borderId="0" fillId="2" fontId="1" numFmtId="0" xfId="0" applyAlignment="1" applyFont="1">
      <alignment horizontal="center"/>
    </xf>
    <xf borderId="0" fillId="0" fontId="4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3" numFmtId="167" xfId="0" applyAlignment="1" applyFont="1" applyNumberFormat="1">
      <alignment readingOrder="0"/>
    </xf>
    <xf borderId="0" fillId="0" fontId="5" numFmtId="4" xfId="0" applyAlignment="1" applyFont="1" applyNumberFormat="1">
      <alignment horizontal="right" vertical="bottom"/>
    </xf>
    <xf borderId="9" fillId="0" fontId="1" numFmtId="0" xfId="0" applyBorder="1" applyFont="1"/>
    <xf borderId="0" fillId="0" fontId="4" numFmtId="165" xfId="0" applyFont="1" applyNumberFormat="1"/>
    <xf borderId="0" fillId="0" fontId="1" numFmtId="0" xfId="0" applyFont="1"/>
    <xf borderId="0" fillId="0" fontId="1" numFmtId="165" xfId="0" applyFont="1" applyNumberFormat="1"/>
    <xf borderId="0" fillId="0" fontId="3" numFmtId="2" xfId="0" applyFont="1" applyNumberFormat="1"/>
    <xf borderId="0" fillId="4" fontId="1" numFmtId="0" xfId="0" applyAlignment="1" applyFont="1">
      <alignment vertical="bottom"/>
    </xf>
    <xf borderId="0" fillId="4" fontId="1" numFmtId="4" xfId="0" applyAlignment="1" applyFont="1" applyNumberFormat="1">
      <alignment horizontal="right" vertical="bottom"/>
    </xf>
    <xf borderId="1" fillId="2" fontId="1" numFmtId="0" xfId="0" applyAlignment="1" applyBorder="1" applyFont="1">
      <alignment horizontal="center" vertical="bottom"/>
    </xf>
    <xf borderId="0" fillId="0" fontId="3" numFmtId="165" xfId="0" applyAlignment="1" applyFont="1" applyNumberFormat="1">
      <alignment vertical="bottom"/>
    </xf>
    <xf borderId="9" fillId="0" fontId="1" numFmtId="0" xfId="0" applyAlignment="1" applyBorder="1" applyFont="1">
      <alignment vertical="bottom"/>
    </xf>
    <xf borderId="9" fillId="0" fontId="1" numFmtId="165" xfId="0" applyAlignment="1" applyBorder="1" applyFont="1" applyNumberFormat="1">
      <alignment horizontal="right" vertical="bottom"/>
    </xf>
    <xf quotePrefix="1"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1" fillId="5" fontId="8" numFmtId="0" xfId="0" applyAlignment="1" applyBorder="1" applyFill="1" applyFont="1">
      <alignment horizontal="center"/>
    </xf>
    <xf quotePrefix="1" borderId="0" fillId="0" fontId="1" numFmtId="0" xfId="0" applyAlignment="1" applyFont="1">
      <alignment horizontal="right"/>
    </xf>
    <xf borderId="0" fillId="0" fontId="3" numFmtId="14" xfId="0" applyAlignment="1" applyFont="1" applyNumberFormat="1">
      <alignment horizontal="left"/>
    </xf>
    <xf borderId="0" fillId="0" fontId="3" numFmtId="0" xfId="0" applyAlignment="1" applyFont="1">
      <alignment horizontal="left"/>
    </xf>
    <xf borderId="14" fillId="0" fontId="1" numFmtId="9" xfId="0" applyAlignment="1" applyBorder="1" applyFont="1" applyNumberFormat="1">
      <alignment horizontal="center"/>
    </xf>
    <xf borderId="15" fillId="0" fontId="1" numFmtId="0" xfId="0" applyBorder="1" applyFont="1"/>
    <xf borderId="16" fillId="0" fontId="1" numFmtId="165" xfId="0" applyBorder="1" applyFont="1" applyNumberFormat="1"/>
    <xf borderId="17" fillId="0" fontId="1" numFmtId="9" xfId="0" applyAlignment="1" applyBorder="1" applyFont="1" applyNumberFormat="1">
      <alignment horizontal="center"/>
    </xf>
    <xf borderId="18" fillId="0" fontId="1" numFmtId="0" xfId="0" applyBorder="1" applyFont="1"/>
    <xf borderId="19" fillId="0" fontId="1" numFmtId="165" xfId="0" applyBorder="1" applyFont="1" applyNumberFormat="1"/>
    <xf borderId="8" fillId="0" fontId="1" numFmtId="0" xfId="0" applyAlignment="1" applyBorder="1" applyFont="1">
      <alignment horizontal="center" vertical="bottom"/>
    </xf>
    <xf borderId="8" fillId="4" fontId="1" numFmtId="0" xfId="0" applyAlignment="1" applyBorder="1" applyFont="1">
      <alignment horizontal="center" vertical="bottom"/>
    </xf>
    <xf borderId="8" fillId="0" fontId="3" numFmtId="165" xfId="0" applyAlignment="1" applyBorder="1" applyFont="1" applyNumberFormat="1">
      <alignment horizontal="center" vertical="bottom"/>
    </xf>
    <xf borderId="8" fillId="4" fontId="3" numFmtId="165" xfId="0" applyAlignment="1" applyBorder="1" applyFont="1" applyNumberFormat="1">
      <alignment horizontal="center" vertical="bottom"/>
    </xf>
    <xf borderId="0" fillId="0" fontId="3" numFmtId="0" xfId="0" applyAlignment="1" applyFont="1">
      <alignment horizontal="right" vertical="bottom"/>
    </xf>
    <xf borderId="0" fillId="0" fontId="3" numFmtId="4" xfId="0" applyAlignment="1" applyFont="1" applyNumberFormat="1">
      <alignment horizontal="right" vertical="bottom"/>
    </xf>
    <xf borderId="20" fillId="0" fontId="3" numFmtId="0" xfId="0" applyAlignment="1" applyBorder="1" applyFont="1">
      <alignment vertical="bottom"/>
    </xf>
    <xf borderId="20" fillId="0" fontId="3" numFmtId="4" xfId="0" applyAlignment="1" applyBorder="1" applyFont="1" applyNumberFormat="1">
      <alignment horizontal="right" vertical="bottom"/>
    </xf>
    <xf borderId="7" fillId="0" fontId="1" numFmtId="0" xfId="0" applyAlignment="1" applyBorder="1" applyFont="1">
      <alignment horizontal="center" vertical="bottom"/>
    </xf>
    <xf borderId="20" fillId="0" fontId="1" numFmtId="0" xfId="0" applyAlignment="1" applyBorder="1" applyFont="1">
      <alignment horizontal="center" vertical="bottom"/>
    </xf>
    <xf borderId="20" fillId="0" fontId="2" numFmtId="0" xfId="0" applyBorder="1" applyFont="1"/>
    <xf borderId="21" fillId="0" fontId="1" numFmtId="165" xfId="0" applyAlignment="1" applyBorder="1" applyFont="1" applyNumberFormat="1">
      <alignment horizontal="right" vertical="bottom"/>
    </xf>
    <xf borderId="21" fillId="0" fontId="1" numFmtId="10" xfId="0" applyAlignment="1" applyBorder="1" applyFont="1" applyNumberFormat="1">
      <alignment horizontal="right" vertical="bottom"/>
    </xf>
    <xf borderId="0" fillId="0" fontId="9" numFmtId="4" xfId="0" applyAlignment="1" applyFont="1" applyNumberFormat="1">
      <alignment horizontal="right" vertical="bottom"/>
    </xf>
    <xf borderId="0" fillId="0" fontId="9" numFmtId="0" xfId="0" applyAlignment="1" applyFont="1">
      <alignment vertical="bottom"/>
    </xf>
    <xf borderId="0" fillId="0" fontId="9" numFmtId="165" xfId="0" applyAlignment="1" applyFont="1" applyNumberFormat="1">
      <alignment horizontal="right" vertical="bottom"/>
    </xf>
    <xf borderId="1" fillId="2" fontId="1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0" fillId="0" fontId="3" numFmtId="4" xfId="0" applyFont="1" applyNumberFormat="1"/>
    <xf borderId="22" fillId="6" fontId="10" numFmtId="0" xfId="0" applyAlignment="1" applyBorder="1" applyFill="1" applyFont="1">
      <alignment horizontal="center"/>
    </xf>
    <xf borderId="23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1.0"/>
    <col customWidth="1" min="3" max="3" width="20.86"/>
    <col customWidth="1" min="4" max="4" width="10.71"/>
    <col customWidth="1" min="5" max="5" width="13.86"/>
    <col customWidth="1" min="6" max="8" width="10.71"/>
    <col customWidth="1" min="9" max="9" width="24.0"/>
    <col customWidth="1" min="10" max="27" width="10.71"/>
  </cols>
  <sheetData>
    <row r="1" ht="14.25" customHeight="1">
      <c r="A1" s="1" t="s">
        <v>0</v>
      </c>
      <c r="B1" s="2"/>
      <c r="C1" s="2"/>
      <c r="D1" s="2"/>
      <c r="E1" s="3" t="s">
        <v>1</v>
      </c>
      <c r="F1" s="4"/>
    </row>
    <row r="2" ht="14.25" customHeight="1">
      <c r="A2" s="5"/>
      <c r="B2" s="5"/>
      <c r="C2" s="6"/>
      <c r="D2" s="7"/>
      <c r="E2" s="8"/>
      <c r="F2" s="8"/>
      <c r="J2" s="8"/>
      <c r="N2" s="9" t="s">
        <v>2</v>
      </c>
      <c r="O2" s="10"/>
      <c r="P2" s="11">
        <f>E52/F16</f>
        <v>0.09036619338</v>
      </c>
    </row>
    <row r="3" ht="14.25" customHeight="1">
      <c r="A3" s="12" t="s">
        <v>3</v>
      </c>
      <c r="B3" s="13"/>
      <c r="C3" s="13"/>
      <c r="D3" s="13"/>
      <c r="E3" s="13"/>
      <c r="F3" s="13"/>
      <c r="J3" s="14">
        <f>485*5.5</f>
        <v>2667.5</v>
      </c>
    </row>
    <row r="4" ht="14.25" customHeight="1">
      <c r="A4" s="15" t="s">
        <v>4</v>
      </c>
      <c r="B4" s="15" t="s">
        <v>5</v>
      </c>
      <c r="C4" s="15" t="s">
        <v>6</v>
      </c>
      <c r="D4" s="16" t="s">
        <v>7</v>
      </c>
      <c r="E4" s="17" t="s">
        <v>8</v>
      </c>
      <c r="F4" s="17" t="s">
        <v>9</v>
      </c>
    </row>
    <row r="5">
      <c r="A5" s="18">
        <v>46387.0</v>
      </c>
      <c r="B5" s="19" t="s">
        <v>10</v>
      </c>
      <c r="C5" s="6" t="s">
        <v>11</v>
      </c>
      <c r="D5" s="20">
        <v>1867.0</v>
      </c>
      <c r="E5" s="21">
        <v>1.7</v>
      </c>
      <c r="F5" s="8">
        <f t="shared" ref="F5:F7" si="1">ROUNDDOWN(D5*E5,0)</f>
        <v>3173</v>
      </c>
      <c r="G5" s="22"/>
      <c r="H5" s="22"/>
    </row>
    <row r="6" ht="14.25" customHeight="1">
      <c r="A6" s="18">
        <v>46387.0</v>
      </c>
      <c r="B6" s="19" t="s">
        <v>12</v>
      </c>
      <c r="C6" s="6" t="s">
        <v>11</v>
      </c>
      <c r="D6" s="20">
        <v>6645.0</v>
      </c>
      <c r="E6" s="21">
        <v>1.5</v>
      </c>
      <c r="F6" s="8">
        <f t="shared" si="1"/>
        <v>9967</v>
      </c>
      <c r="H6" s="22"/>
    </row>
    <row r="7" ht="14.25" customHeight="1">
      <c r="A7" s="18">
        <v>46387.0</v>
      </c>
      <c r="B7" s="19" t="s">
        <v>13</v>
      </c>
      <c r="C7" s="6" t="s">
        <v>11</v>
      </c>
      <c r="D7" s="20">
        <v>5350.0</v>
      </c>
      <c r="E7" s="21">
        <v>1.5</v>
      </c>
      <c r="F7" s="8">
        <f t="shared" si="1"/>
        <v>8025</v>
      </c>
      <c r="H7" s="22"/>
    </row>
    <row r="8" ht="14.25" customHeight="1">
      <c r="A8" s="23"/>
      <c r="D8" s="24">
        <f>SUM(D5:D7)</f>
        <v>13862</v>
      </c>
      <c r="E8" s="25"/>
      <c r="F8" s="24">
        <f>SUM(F5:F7)</f>
        <v>21165</v>
      </c>
      <c r="G8" s="26" t="s">
        <v>14</v>
      </c>
      <c r="H8" s="27"/>
      <c r="I8" s="27"/>
      <c r="J8" s="28">
        <f>F8*-1</f>
        <v>-21165</v>
      </c>
      <c r="K8" s="27"/>
      <c r="L8" s="27"/>
    </row>
    <row r="9" ht="14.25" customHeight="1">
      <c r="H9" s="27"/>
      <c r="I9" s="27"/>
      <c r="J9" s="27"/>
      <c r="K9" s="27"/>
      <c r="L9" s="27"/>
    </row>
    <row r="10" ht="14.25" customHeight="1">
      <c r="H10" s="27"/>
      <c r="I10" s="27"/>
      <c r="J10" s="27"/>
      <c r="K10" s="27"/>
      <c r="L10" s="27"/>
    </row>
    <row r="11" ht="14.25" customHeight="1">
      <c r="A11" s="12" t="s">
        <v>15</v>
      </c>
      <c r="B11" s="13"/>
      <c r="C11" s="13"/>
      <c r="D11" s="13"/>
      <c r="E11" s="13"/>
      <c r="F11" s="13"/>
      <c r="H11" s="27"/>
      <c r="I11" s="27"/>
      <c r="J11" s="27"/>
      <c r="K11" s="27"/>
      <c r="L11" s="27"/>
    </row>
    <row r="12" ht="14.25" customHeight="1">
      <c r="A12" s="29" t="s">
        <v>4</v>
      </c>
      <c r="B12" s="29" t="s">
        <v>16</v>
      </c>
      <c r="C12" s="15" t="s">
        <v>6</v>
      </c>
      <c r="D12" s="30" t="s">
        <v>7</v>
      </c>
      <c r="E12" s="17" t="s">
        <v>8</v>
      </c>
      <c r="F12" s="17" t="s">
        <v>9</v>
      </c>
      <c r="H12" s="27"/>
      <c r="I12" s="27"/>
      <c r="J12" s="27"/>
      <c r="K12" s="27"/>
      <c r="L12" s="27"/>
    </row>
    <row r="13" ht="14.25" customHeight="1">
      <c r="A13" s="18">
        <v>46025.0</v>
      </c>
      <c r="B13" s="19" t="s">
        <v>17</v>
      </c>
      <c r="C13" s="6" t="s">
        <v>18</v>
      </c>
      <c r="D13" s="31">
        <v>5520.6</v>
      </c>
      <c r="E13" s="32">
        <v>2.4</v>
      </c>
      <c r="F13" s="8">
        <f t="shared" ref="F13:F15" si="2">D13*E13</f>
        <v>13249.44</v>
      </c>
      <c r="H13" s="27"/>
      <c r="I13" s="27"/>
      <c r="J13" s="33"/>
      <c r="K13" s="27"/>
      <c r="L13" s="27"/>
    </row>
    <row r="14" ht="14.25" customHeight="1">
      <c r="A14" s="18">
        <v>46025.0</v>
      </c>
      <c r="B14" s="19" t="s">
        <v>17</v>
      </c>
      <c r="C14" s="6" t="s">
        <v>18</v>
      </c>
      <c r="D14" s="34">
        <v>9596.2</v>
      </c>
      <c r="E14" s="32">
        <v>2.2</v>
      </c>
      <c r="F14" s="8">
        <f t="shared" si="2"/>
        <v>21111.64</v>
      </c>
      <c r="H14" s="27"/>
      <c r="I14" s="27"/>
      <c r="J14" s="33"/>
      <c r="K14" s="27"/>
      <c r="L14" s="27"/>
    </row>
    <row r="15" ht="14.25" customHeight="1">
      <c r="A15" s="23"/>
      <c r="B15" s="6"/>
      <c r="C15" s="6"/>
      <c r="D15" s="35"/>
      <c r="E15" s="8"/>
      <c r="F15" s="8">
        <f t="shared" si="2"/>
        <v>0</v>
      </c>
      <c r="G15" s="8"/>
      <c r="H15" s="27"/>
      <c r="I15" s="27"/>
      <c r="J15" s="36">
        <f>F15</f>
        <v>0</v>
      </c>
      <c r="K15" s="27"/>
      <c r="L15" s="27"/>
    </row>
    <row r="16" ht="14.25" customHeight="1">
      <c r="A16" s="37" t="s">
        <v>19</v>
      </c>
      <c r="B16" s="37"/>
      <c r="C16" s="6"/>
      <c r="D16" s="38">
        <f>SUM(D13:D14)</f>
        <v>15116.8</v>
      </c>
      <c r="E16" s="8"/>
      <c r="F16" s="39">
        <f>SUM(F13:F14)</f>
        <v>34361.08</v>
      </c>
      <c r="G16" s="26" t="s">
        <v>20</v>
      </c>
      <c r="H16" s="27"/>
      <c r="I16" s="27"/>
      <c r="J16" s="40">
        <f>SUM(J15)</f>
        <v>0</v>
      </c>
      <c r="K16" s="27"/>
      <c r="L16" s="27"/>
    </row>
    <row r="17" ht="14.25" customHeight="1">
      <c r="A17" s="23"/>
      <c r="B17" s="5"/>
      <c r="C17" s="6"/>
      <c r="D17" s="41"/>
      <c r="E17" s="8"/>
      <c r="F17" s="8"/>
      <c r="H17" s="27"/>
      <c r="I17" s="27"/>
      <c r="J17" s="27"/>
      <c r="K17" s="27"/>
      <c r="L17" s="27"/>
    </row>
    <row r="18" ht="14.25" customHeight="1">
      <c r="A18" s="5"/>
      <c r="B18" s="5"/>
      <c r="C18" s="6"/>
      <c r="D18" s="7"/>
      <c r="E18" s="8"/>
      <c r="F18" s="8"/>
      <c r="H18" s="27"/>
      <c r="I18" s="27"/>
      <c r="J18" s="27"/>
      <c r="K18" s="27"/>
      <c r="L18" s="27"/>
    </row>
    <row r="19" ht="14.25" customHeight="1">
      <c r="A19" s="42" t="s">
        <v>21</v>
      </c>
      <c r="B19" s="43"/>
      <c r="C19" s="44"/>
      <c r="D19" s="45">
        <f>+D16-D8</f>
        <v>1254.8</v>
      </c>
      <c r="E19" s="8"/>
      <c r="F19" s="8"/>
      <c r="H19" s="46" t="s">
        <v>22</v>
      </c>
      <c r="J19" s="47">
        <f>J16+J8</f>
        <v>-21165</v>
      </c>
      <c r="K19" s="48"/>
      <c r="L19" s="49" t="str">
        <f>J19/J16</f>
        <v>#DIV/0!</v>
      </c>
    </row>
    <row r="20" ht="14.25" customHeight="1">
      <c r="A20" s="5"/>
      <c r="B20" s="5"/>
      <c r="C20" s="6"/>
      <c r="D20" s="7"/>
      <c r="E20" s="8"/>
      <c r="F20" s="8"/>
      <c r="H20" s="27"/>
      <c r="I20" s="27"/>
      <c r="J20" s="27"/>
      <c r="K20" s="27"/>
      <c r="L20" s="27"/>
    </row>
    <row r="21" ht="14.25" customHeight="1">
      <c r="A21" s="5"/>
      <c r="F21" s="8"/>
      <c r="H21" s="27"/>
      <c r="I21" s="27"/>
      <c r="J21" s="27"/>
      <c r="K21" s="27"/>
      <c r="L21" s="27"/>
    </row>
    <row r="22" ht="14.25" customHeight="1">
      <c r="A22" s="5"/>
      <c r="C22" s="50" t="s">
        <v>23</v>
      </c>
      <c r="F22" s="8"/>
      <c r="H22" s="27"/>
      <c r="I22" s="27"/>
      <c r="J22" s="27"/>
      <c r="K22" s="27"/>
      <c r="L22" s="27"/>
    </row>
    <row r="23" ht="14.25" customHeight="1">
      <c r="A23" s="5"/>
      <c r="C23" s="15" t="s">
        <v>24</v>
      </c>
      <c r="D23" s="17" t="s">
        <v>25</v>
      </c>
      <c r="F23" s="8"/>
      <c r="H23" s="27"/>
      <c r="I23" s="27"/>
      <c r="J23" s="27"/>
      <c r="K23" s="27"/>
      <c r="L23" s="27"/>
    </row>
    <row r="24" ht="14.25" customHeight="1">
      <c r="A24" s="5"/>
      <c r="C24" s="22" t="s">
        <v>26</v>
      </c>
      <c r="D24" s="32">
        <v>550.0</v>
      </c>
      <c r="F24" s="8"/>
      <c r="H24" s="27"/>
      <c r="I24" s="27"/>
      <c r="J24" s="27"/>
      <c r="K24" s="27"/>
      <c r="L24" s="27"/>
    </row>
    <row r="25" ht="14.25" customHeight="1">
      <c r="A25" s="5"/>
      <c r="C25" s="22" t="s">
        <v>27</v>
      </c>
      <c r="D25" s="32">
        <v>1215.0</v>
      </c>
      <c r="F25" s="8"/>
      <c r="H25" s="27"/>
      <c r="I25" s="27"/>
      <c r="J25" s="27"/>
      <c r="K25" s="27"/>
      <c r="L25" s="27"/>
    </row>
    <row r="26" ht="14.25" customHeight="1">
      <c r="A26" s="5"/>
      <c r="C26" s="22" t="s">
        <v>28</v>
      </c>
      <c r="D26" s="32">
        <v>300.0</v>
      </c>
      <c r="H26" s="27"/>
      <c r="I26" s="27"/>
      <c r="J26" s="27"/>
      <c r="K26" s="27"/>
      <c r="L26" s="27"/>
    </row>
    <row r="27" ht="14.25" customHeight="1">
      <c r="C27" s="14" t="s">
        <v>29</v>
      </c>
      <c r="D27" s="32">
        <v>300.0</v>
      </c>
      <c r="H27" s="27"/>
      <c r="I27" s="27"/>
      <c r="J27" s="27"/>
      <c r="K27" s="27"/>
      <c r="L27" s="27"/>
    </row>
    <row r="28" ht="14.25" customHeight="1">
      <c r="C28" s="51" t="s">
        <v>30</v>
      </c>
      <c r="D28" s="32">
        <v>135.0</v>
      </c>
      <c r="H28" s="27"/>
      <c r="I28" s="27"/>
      <c r="J28" s="27"/>
      <c r="K28" s="27"/>
      <c r="L28" s="27"/>
    </row>
    <row r="29" ht="14.25" customHeight="1">
      <c r="C29" s="52" t="s">
        <v>31</v>
      </c>
      <c r="D29" s="32">
        <v>30.0</v>
      </c>
      <c r="H29" s="27"/>
      <c r="I29" s="27"/>
      <c r="J29" s="27"/>
      <c r="K29" s="27"/>
      <c r="L29" s="27"/>
    </row>
    <row r="30" ht="14.25" customHeight="1">
      <c r="C30" s="22" t="s">
        <v>32</v>
      </c>
      <c r="D30" s="32">
        <v>720.0</v>
      </c>
      <c r="H30" s="53">
        <v>3300.0</v>
      </c>
    </row>
    <row r="31" ht="14.25" customHeight="1">
      <c r="C31" s="22" t="s">
        <v>33</v>
      </c>
      <c r="D31" s="32">
        <v>3600.0</v>
      </c>
      <c r="H31" s="14">
        <f>H30/2</f>
        <v>1650</v>
      </c>
      <c r="I31" s="54">
        <v>1650.0</v>
      </c>
      <c r="J31" s="55"/>
      <c r="K31" s="27"/>
      <c r="L31" s="27"/>
    </row>
    <row r="32" ht="14.25" customHeight="1">
      <c r="C32" s="22" t="s">
        <v>34</v>
      </c>
      <c r="D32" s="32">
        <v>50.0</v>
      </c>
      <c r="H32" s="14">
        <f>H31*18%</f>
        <v>297</v>
      </c>
      <c r="I32" s="41"/>
      <c r="J32" s="55"/>
      <c r="K32" s="27"/>
      <c r="L32" s="27"/>
    </row>
    <row r="33" ht="14.25" customHeight="1">
      <c r="C33" s="56" t="s">
        <v>9</v>
      </c>
      <c r="D33" s="24">
        <f>SUM(D24:D32)</f>
        <v>6900</v>
      </c>
      <c r="E33" s="26" t="s">
        <v>35</v>
      </c>
      <c r="H33" s="57"/>
      <c r="I33" s="41"/>
      <c r="J33" s="55"/>
      <c r="K33" s="27"/>
      <c r="L33" s="27"/>
    </row>
    <row r="34" ht="14.25" customHeight="1">
      <c r="C34" s="58"/>
      <c r="D34" s="59"/>
      <c r="E34" s="8"/>
      <c r="F34" s="14"/>
      <c r="G34" s="41"/>
      <c r="H34" s="27"/>
      <c r="I34" s="27"/>
      <c r="J34" s="55">
        <f>D31*-1</f>
        <v>-3600</v>
      </c>
      <c r="K34" s="27"/>
      <c r="L34" s="27"/>
    </row>
    <row r="35" ht="14.25" customHeight="1">
      <c r="D35" s="60"/>
      <c r="F35" s="14"/>
      <c r="G35" s="14"/>
      <c r="H35" s="61" t="s">
        <v>36</v>
      </c>
      <c r="J35" s="62">
        <f>J34+J19</f>
        <v>-24765</v>
      </c>
      <c r="K35" s="48"/>
      <c r="L35" s="49" t="str">
        <f>J35/J16</f>
        <v>#DIV/0!</v>
      </c>
    </row>
    <row r="36" ht="14.25" customHeight="1">
      <c r="C36" s="63" t="s">
        <v>37</v>
      </c>
      <c r="D36" s="2"/>
      <c r="E36" s="27"/>
      <c r="H36" s="27"/>
      <c r="I36" s="27"/>
      <c r="J36" s="27"/>
      <c r="K36" s="27"/>
      <c r="L36" s="27"/>
    </row>
    <row r="37" ht="14.25" customHeight="1">
      <c r="C37" s="27" t="s">
        <v>38</v>
      </c>
      <c r="D37" s="33">
        <f>ROUNDDOWN(D16*0.1,0)</f>
        <v>1511</v>
      </c>
      <c r="E37" s="27"/>
      <c r="H37" s="27"/>
      <c r="I37" s="27"/>
      <c r="J37" s="27"/>
      <c r="K37" s="27"/>
      <c r="L37" s="27"/>
    </row>
    <row r="38" ht="14.25" customHeight="1">
      <c r="C38" s="27" t="s">
        <v>28</v>
      </c>
      <c r="D38" s="33">
        <v>210.0</v>
      </c>
      <c r="E38" s="27"/>
      <c r="H38" s="64"/>
      <c r="I38" s="27"/>
      <c r="J38" s="27"/>
      <c r="K38" s="27"/>
      <c r="L38" s="27"/>
    </row>
    <row r="39" ht="14.25" customHeight="1">
      <c r="C39" s="27" t="s">
        <v>39</v>
      </c>
      <c r="D39" s="33">
        <f>IF(F16&lt;50000,50,IF(F16&lt;100000,100,150))</f>
        <v>50</v>
      </c>
      <c r="E39" s="27"/>
      <c r="H39" s="27"/>
      <c r="I39" s="27"/>
      <c r="J39" s="27"/>
      <c r="K39" s="27"/>
      <c r="L39" s="27"/>
    </row>
    <row r="40" ht="14.25" customHeight="1">
      <c r="C40" s="27" t="s">
        <v>40</v>
      </c>
      <c r="D40" s="33">
        <v>150.0</v>
      </c>
      <c r="E40" s="27"/>
      <c r="H40" s="27"/>
      <c r="I40" s="27"/>
      <c r="J40" s="27"/>
      <c r="K40" s="27"/>
      <c r="L40" s="27"/>
    </row>
    <row r="41" ht="14.25" customHeight="1">
      <c r="C41" s="27" t="s">
        <v>41</v>
      </c>
      <c r="D41" s="33">
        <v>90.0</v>
      </c>
      <c r="E41" s="27"/>
      <c r="H41" s="64"/>
      <c r="I41" s="27"/>
      <c r="J41" s="27"/>
      <c r="K41" s="27"/>
      <c r="L41" s="27"/>
    </row>
    <row r="42" ht="14.25" customHeight="1">
      <c r="C42" s="27" t="s">
        <v>42</v>
      </c>
      <c r="D42" s="33">
        <f>ROUNDDOWN(D16*0.001,0)*10</f>
        <v>150</v>
      </c>
      <c r="E42" s="27"/>
      <c r="H42" s="64"/>
      <c r="I42" s="27"/>
      <c r="J42" s="27"/>
      <c r="K42" s="27"/>
      <c r="L42" s="27"/>
    </row>
    <row r="43" ht="14.25" customHeight="1">
      <c r="C43" s="27" t="s">
        <v>43</v>
      </c>
      <c r="D43" s="33">
        <f>ROUNDDOWN(0.03*F16,0)</f>
        <v>1030</v>
      </c>
      <c r="E43" s="27"/>
      <c r="H43" s="27"/>
      <c r="I43" s="27"/>
      <c r="J43" s="55">
        <f>D44</f>
        <v>3191</v>
      </c>
      <c r="K43" s="27"/>
      <c r="L43" s="27"/>
    </row>
    <row r="44" ht="14.25" customHeight="1">
      <c r="B44" s="5"/>
      <c r="C44" s="65" t="s">
        <v>9</v>
      </c>
      <c r="D44" s="66">
        <f>ROUNDDOWN(SUM(D37:D43),0)</f>
        <v>3191</v>
      </c>
      <c r="E44" s="67" t="s">
        <v>44</v>
      </c>
      <c r="H44" s="61" t="s">
        <v>45</v>
      </c>
      <c r="J44" s="62">
        <f>J35+J43</f>
        <v>-21574</v>
      </c>
      <c r="K44" s="48"/>
      <c r="L44" s="49" t="str">
        <f>J44/J16</f>
        <v>#DIV/0!</v>
      </c>
    </row>
    <row r="45" ht="14.25" customHeight="1">
      <c r="H45" s="68" t="s">
        <v>46</v>
      </c>
      <c r="J45" s="55">
        <f>J44*0.3*-1</f>
        <v>6472.2</v>
      </c>
      <c r="K45" s="27"/>
      <c r="L45" s="27"/>
    </row>
    <row r="46" ht="14.25" customHeight="1">
      <c r="H46" s="27"/>
      <c r="I46" s="27"/>
      <c r="J46" s="27"/>
      <c r="K46" s="27"/>
      <c r="L46" s="27"/>
    </row>
    <row r="47" ht="14.25" customHeight="1">
      <c r="C47" s="69" t="s">
        <v>47</v>
      </c>
      <c r="D47" s="2"/>
      <c r="E47" s="2"/>
      <c r="H47" s="27"/>
      <c r="I47" s="27"/>
      <c r="J47" s="27"/>
      <c r="K47" s="27"/>
      <c r="L47" s="27"/>
    </row>
    <row r="48" ht="14.25" customHeight="1">
      <c r="B48" s="70" t="s">
        <v>20</v>
      </c>
      <c r="C48" s="71" t="str">
        <f>+A11</f>
        <v>VENTA</v>
      </c>
      <c r="D48" s="7"/>
      <c r="E48" s="8">
        <f>+F16</f>
        <v>34361.08</v>
      </c>
      <c r="H48" s="61" t="s">
        <v>48</v>
      </c>
      <c r="J48" s="62">
        <f>J44+J45</f>
        <v>-15101.8</v>
      </c>
      <c r="K48" s="48"/>
      <c r="L48" s="49" t="str">
        <f>J48/J16</f>
        <v>#DIV/0!</v>
      </c>
    </row>
    <row r="49" ht="14.25" customHeight="1">
      <c r="B49" s="70" t="s">
        <v>14</v>
      </c>
      <c r="C49" s="71" t="str">
        <f>+A3</f>
        <v>COMPRA</v>
      </c>
      <c r="D49" s="7"/>
      <c r="E49" s="8">
        <f>-F8</f>
        <v>-21165</v>
      </c>
    </row>
    <row r="50" ht="14.25" customHeight="1">
      <c r="B50" s="70" t="s">
        <v>35</v>
      </c>
      <c r="C50" s="72" t="str">
        <f>+C22</f>
        <v>GASTOS MUELLE</v>
      </c>
      <c r="D50" s="7"/>
      <c r="E50" s="8">
        <f>-D33</f>
        <v>-6900</v>
      </c>
    </row>
    <row r="51" ht="14.25" customHeight="1">
      <c r="B51" s="70" t="s">
        <v>44</v>
      </c>
      <c r="C51" s="72" t="str">
        <f>+C36</f>
        <v>GASTOS ADMINISTRATIVO</v>
      </c>
      <c r="D51" s="7"/>
      <c r="E51" s="8">
        <f>-D44</f>
        <v>-3191</v>
      </c>
    </row>
    <row r="52" ht="14.25" customHeight="1">
      <c r="C52" s="37" t="s">
        <v>9</v>
      </c>
      <c r="D52" s="7"/>
      <c r="E52" s="24">
        <f>SUM(E48:E51)</f>
        <v>3105.08</v>
      </c>
    </row>
    <row r="53" ht="14.25" customHeight="1"/>
    <row r="54" ht="14.25" customHeight="1"/>
    <row r="55" ht="14.25" customHeight="1">
      <c r="C55" s="73">
        <v>0.5</v>
      </c>
      <c r="D55" s="74" t="s">
        <v>49</v>
      </c>
      <c r="E55" s="75">
        <f>ROUNDDOWN(E52*C55,0)</f>
        <v>1552</v>
      </c>
      <c r="K55" s="14">
        <v>550.0</v>
      </c>
    </row>
    <row r="56" ht="14.25" customHeight="1">
      <c r="C56" s="76">
        <v>0.5</v>
      </c>
      <c r="D56" s="77" t="s">
        <v>50</v>
      </c>
      <c r="E56" s="78">
        <f>ROUNDDOWN(E52*C56,0)</f>
        <v>1552</v>
      </c>
      <c r="K56" s="14">
        <f>K55*90%</f>
        <v>495</v>
      </c>
    </row>
    <row r="57" ht="14.25" customHeight="1"/>
    <row r="58" ht="14.25" customHeight="1"/>
    <row r="59" ht="14.25" customHeight="1"/>
    <row r="60" ht="14.25" customHeight="1">
      <c r="C60" s="79" t="s">
        <v>15</v>
      </c>
      <c r="D60" s="79" t="s">
        <v>3</v>
      </c>
      <c r="E60" s="80" t="s">
        <v>21</v>
      </c>
    </row>
    <row r="61" ht="14.25" customHeight="1">
      <c r="C61" s="81">
        <f>D16</f>
        <v>15116.8</v>
      </c>
      <c r="D61" s="81">
        <f>D8</f>
        <v>13862</v>
      </c>
      <c r="E61" s="82">
        <f>C61-D61</f>
        <v>1254.8</v>
      </c>
    </row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</sheetData>
  <mergeCells count="11">
    <mergeCell ref="H44:I44"/>
    <mergeCell ref="H45:I45"/>
    <mergeCell ref="C47:E47"/>
    <mergeCell ref="H48:I48"/>
    <mergeCell ref="A1:D1"/>
    <mergeCell ref="A3:F3"/>
    <mergeCell ref="A11:F11"/>
    <mergeCell ref="H19:I19"/>
    <mergeCell ref="C22:D22"/>
    <mergeCell ref="H35:I35"/>
    <mergeCell ref="C36:D36"/>
  </mergeCells>
  <printOptions/>
  <pageMargins bottom="0.007965044831823769" footer="0.0" header="0.0" left="0.7726093486869057" right="0.0" top="0.3627127254254509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7.29"/>
  </cols>
  <sheetData>
    <row r="3">
      <c r="B3" s="27" t="s">
        <v>51</v>
      </c>
      <c r="C3" s="27"/>
    </row>
    <row r="4">
      <c r="B4" s="83">
        <v>1.0</v>
      </c>
      <c r="C4" s="84">
        <v>59000.0</v>
      </c>
    </row>
    <row r="5">
      <c r="B5" s="83">
        <v>2.0</v>
      </c>
      <c r="C5" s="84"/>
    </row>
    <row r="6">
      <c r="B6" s="83">
        <v>3.0</v>
      </c>
      <c r="C6" s="84"/>
    </row>
    <row r="7">
      <c r="B7" s="83">
        <v>4.0</v>
      </c>
      <c r="C7" s="84"/>
    </row>
    <row r="8">
      <c r="B8" s="85" t="s">
        <v>52</v>
      </c>
      <c r="C8" s="86">
        <f>SUM(C4:C7)</f>
        <v>59000</v>
      </c>
    </row>
    <row r="9">
      <c r="B9" s="27" t="s">
        <v>53</v>
      </c>
      <c r="C9" s="84">
        <f>P4G!F16/1.04</f>
        <v>33039.5</v>
      </c>
    </row>
    <row r="10">
      <c r="B10" s="27"/>
      <c r="C10" s="27"/>
    </row>
    <row r="11">
      <c r="B11" s="27"/>
      <c r="C11" s="27"/>
    </row>
    <row r="12">
      <c r="B12" s="27" t="s">
        <v>54</v>
      </c>
      <c r="C12" s="27"/>
    </row>
    <row r="13">
      <c r="B13" s="83">
        <v>1.0</v>
      </c>
      <c r="C13" s="84">
        <v>1622.5</v>
      </c>
    </row>
    <row r="14">
      <c r="B14" s="83">
        <v>2.0</v>
      </c>
      <c r="C14" s="84"/>
    </row>
    <row r="15">
      <c r="B15" s="85" t="s">
        <v>55</v>
      </c>
      <c r="C15" s="86">
        <f>SUM(C13:C14)</f>
        <v>1622.5</v>
      </c>
    </row>
    <row r="16">
      <c r="B16" s="27" t="s">
        <v>53</v>
      </c>
      <c r="C16" s="33">
        <f>P4G!D31</f>
        <v>3600</v>
      </c>
    </row>
    <row r="17">
      <c r="B17" s="27"/>
      <c r="C17" s="27"/>
    </row>
    <row r="18">
      <c r="B18" s="27"/>
      <c r="C18" s="27"/>
    </row>
    <row r="19">
      <c r="B19" s="27" t="s">
        <v>56</v>
      </c>
      <c r="C19" s="27"/>
    </row>
    <row r="20">
      <c r="B20" s="83">
        <v>1.0</v>
      </c>
      <c r="C20" s="27">
        <v>0.0</v>
      </c>
    </row>
    <row r="21">
      <c r="B21" s="83">
        <v>2.0</v>
      </c>
      <c r="C21" s="27">
        <v>0.0</v>
      </c>
    </row>
    <row r="22">
      <c r="B22" s="27" t="s">
        <v>57</v>
      </c>
      <c r="C22" s="27">
        <f>SUM(C20:C21)</f>
        <v>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5.86"/>
    <col customWidth="1" min="4" max="4" width="4.14"/>
    <col customWidth="1" min="6" max="6" width="3.0"/>
    <col customWidth="1" min="7" max="7" width="10.71"/>
    <col customWidth="1" min="8" max="8" width="7.29"/>
    <col customWidth="1" min="9" max="9" width="10.71"/>
    <col customWidth="1" min="10" max="10" width="13.29"/>
  </cols>
  <sheetData>
    <row r="2">
      <c r="B2" s="27"/>
      <c r="C2" s="27"/>
      <c r="D2" s="27"/>
      <c r="E2" s="27"/>
      <c r="F2" s="27"/>
      <c r="G2" s="27"/>
      <c r="H2" s="27"/>
      <c r="I2" s="27"/>
      <c r="J2" s="27"/>
    </row>
    <row r="3">
      <c r="B3" s="87" t="s">
        <v>58</v>
      </c>
      <c r="C3" s="13"/>
      <c r="D3" s="13"/>
      <c r="E3" s="13"/>
      <c r="F3" s="13"/>
      <c r="G3" s="13"/>
      <c r="H3" s="13"/>
      <c r="I3" s="13"/>
      <c r="J3" s="13"/>
    </row>
    <row r="4">
      <c r="B4" s="27"/>
      <c r="C4" s="27"/>
      <c r="D4" s="27"/>
      <c r="E4" s="27"/>
      <c r="F4" s="27"/>
      <c r="G4" s="27"/>
      <c r="H4" s="27"/>
      <c r="I4" s="27"/>
      <c r="J4" s="27"/>
    </row>
    <row r="5">
      <c r="B5" s="27"/>
      <c r="C5" s="27"/>
      <c r="D5" s="27"/>
      <c r="E5" s="88" t="s">
        <v>59</v>
      </c>
      <c r="F5" s="89"/>
      <c r="G5" s="89"/>
      <c r="H5" s="27"/>
      <c r="I5" s="88" t="s">
        <v>60</v>
      </c>
      <c r="J5" s="89"/>
    </row>
    <row r="6">
      <c r="B6" s="27" t="s">
        <v>61</v>
      </c>
      <c r="C6" s="27"/>
      <c r="D6" s="27"/>
      <c r="E6" s="33">
        <f>P4G!F16</f>
        <v>34361.08</v>
      </c>
      <c r="F6" s="27"/>
      <c r="G6" s="27"/>
      <c r="H6" s="27"/>
      <c r="I6" s="27"/>
      <c r="J6" s="33">
        <f>P4G!F16</f>
        <v>34361.08</v>
      </c>
    </row>
    <row r="7">
      <c r="B7" s="27"/>
      <c r="C7" s="27"/>
      <c r="D7" s="27"/>
      <c r="E7" s="27"/>
      <c r="F7" s="27"/>
      <c r="G7" s="27"/>
      <c r="H7" s="27"/>
      <c r="I7" s="27"/>
      <c r="J7" s="27"/>
    </row>
    <row r="8">
      <c r="B8" s="27" t="s">
        <v>62</v>
      </c>
      <c r="C8" s="27"/>
      <c r="D8" s="27"/>
      <c r="E8" s="84">
        <f>'CDP TRIBUTARIOS'!C8</f>
        <v>59000</v>
      </c>
      <c r="F8" s="27"/>
      <c r="G8" s="27"/>
      <c r="H8" s="27"/>
      <c r="I8" s="27"/>
      <c r="J8" s="33">
        <f>P4G!F8</f>
        <v>21165</v>
      </c>
    </row>
    <row r="9">
      <c r="B9" s="27"/>
      <c r="C9" s="27"/>
      <c r="D9" s="27"/>
      <c r="E9" s="27"/>
      <c r="F9" s="27"/>
      <c r="G9" s="27"/>
      <c r="H9" s="27"/>
      <c r="I9" s="27"/>
      <c r="J9" s="27"/>
    </row>
    <row r="10">
      <c r="B10" s="68" t="s">
        <v>22</v>
      </c>
      <c r="C10" s="27"/>
      <c r="D10" s="27"/>
      <c r="E10" s="90">
        <f>E6-E8</f>
        <v>-24638.92</v>
      </c>
      <c r="F10" s="27"/>
      <c r="G10" s="91">
        <f>E10/E6</f>
        <v>-0.7170589516</v>
      </c>
      <c r="H10" s="27"/>
      <c r="I10" s="91">
        <f>J10/J6</f>
        <v>0.3840414795</v>
      </c>
      <c r="J10" s="90">
        <f>J6-J8</f>
        <v>13196.08</v>
      </c>
    </row>
    <row r="11">
      <c r="B11" s="27"/>
      <c r="C11" s="27"/>
      <c r="D11" s="27"/>
      <c r="E11" s="27"/>
      <c r="F11" s="27"/>
      <c r="G11" s="27"/>
      <c r="H11" s="27"/>
      <c r="I11" s="27"/>
      <c r="J11" s="27"/>
    </row>
    <row r="12">
      <c r="B12" s="27" t="s">
        <v>63</v>
      </c>
      <c r="C12" s="27"/>
      <c r="D12" s="27"/>
      <c r="E12" s="84">
        <f>'CDP TRIBUTARIOS'!C15+'CDP TRIBUTARIOS'!C22+'CDP TRIBUTARIOS'!C22</f>
        <v>1622.5</v>
      </c>
      <c r="F12" s="27"/>
      <c r="G12" s="27" t="s">
        <v>64</v>
      </c>
      <c r="H12" s="27"/>
      <c r="I12" s="27"/>
      <c r="J12" s="33">
        <f>P4G!D33+P4G!D44</f>
        <v>10091</v>
      </c>
    </row>
    <row r="13">
      <c r="B13" s="27" t="s">
        <v>65</v>
      </c>
      <c r="C13" s="27"/>
      <c r="D13" s="27"/>
      <c r="E13" s="92">
        <v>1000.0</v>
      </c>
      <c r="F13" s="27"/>
      <c r="G13" s="27" t="s">
        <v>66</v>
      </c>
      <c r="H13" s="27"/>
      <c r="I13" s="27"/>
      <c r="J13" s="27"/>
    </row>
    <row r="14">
      <c r="B14" s="27" t="s">
        <v>67</v>
      </c>
      <c r="C14" s="27"/>
      <c r="D14" s="27"/>
      <c r="E14" s="27"/>
      <c r="F14" s="27"/>
      <c r="G14" s="27"/>
      <c r="H14" s="27"/>
      <c r="I14" s="27"/>
      <c r="J14" s="27"/>
    </row>
    <row r="15">
      <c r="B15" s="27"/>
      <c r="C15" s="27"/>
      <c r="D15" s="27"/>
      <c r="E15" s="27"/>
      <c r="F15" s="27"/>
      <c r="G15" s="27"/>
      <c r="H15" s="27"/>
      <c r="I15" s="27"/>
      <c r="J15" s="27"/>
    </row>
    <row r="16">
      <c r="B16" s="68" t="s">
        <v>68</v>
      </c>
      <c r="C16" s="27"/>
      <c r="D16" s="27"/>
      <c r="E16" s="90">
        <f>E10-E12</f>
        <v>-26261.42</v>
      </c>
      <c r="F16" s="27"/>
      <c r="G16" s="91">
        <f>E16/E6</f>
        <v>-0.7642780727</v>
      </c>
      <c r="H16" s="27"/>
      <c r="I16" s="91">
        <f>J16/J6</f>
        <v>0.09036619338</v>
      </c>
      <c r="J16" s="90">
        <f>J10-J12</f>
        <v>3105.08</v>
      </c>
    </row>
    <row r="17">
      <c r="B17" s="27"/>
      <c r="C17" s="27"/>
      <c r="D17" s="27"/>
      <c r="E17" s="27"/>
      <c r="F17" s="27"/>
      <c r="G17" s="27"/>
      <c r="H17" s="27"/>
      <c r="I17" s="27"/>
      <c r="J17" s="27"/>
    </row>
    <row r="18">
      <c r="B18" s="93" t="s">
        <v>69</v>
      </c>
      <c r="C18" s="27"/>
      <c r="D18" s="27"/>
      <c r="E18" s="92">
        <f>E16*0.295</f>
        <v>-7747.1189</v>
      </c>
      <c r="F18" s="27"/>
      <c r="G18" s="27"/>
      <c r="H18" s="27"/>
      <c r="I18" s="27"/>
      <c r="J18" s="94">
        <f>P4G!E56</f>
        <v>1552</v>
      </c>
    </row>
    <row r="19">
      <c r="B19" s="27"/>
      <c r="C19" s="27"/>
      <c r="D19" s="27"/>
      <c r="E19" s="27"/>
      <c r="F19" s="27"/>
      <c r="G19" s="27"/>
      <c r="H19" s="27"/>
      <c r="I19" s="27"/>
      <c r="J19" s="27"/>
    </row>
    <row r="20">
      <c r="B20" s="68" t="s">
        <v>48</v>
      </c>
      <c r="C20" s="27"/>
      <c r="D20" s="27"/>
      <c r="E20" s="90">
        <f>E16-E18</f>
        <v>-18514.3011</v>
      </c>
      <c r="F20" s="27"/>
      <c r="G20" s="91">
        <f>E20/E6</f>
        <v>-0.5388160413</v>
      </c>
      <c r="H20" s="27"/>
      <c r="I20" s="91">
        <f>J20/J6</f>
        <v>0.04519881214</v>
      </c>
      <c r="J20" s="90">
        <f>J16-J18</f>
        <v>1553.08</v>
      </c>
    </row>
    <row r="21">
      <c r="B21" s="27"/>
      <c r="C21" s="27"/>
      <c r="D21" s="27"/>
      <c r="E21" s="27"/>
      <c r="F21" s="27"/>
      <c r="G21" s="27"/>
      <c r="H21" s="27"/>
      <c r="I21" s="27"/>
      <c r="J21" s="27"/>
    </row>
    <row r="22">
      <c r="B22" s="27"/>
      <c r="C22" s="27"/>
      <c r="D22" s="27"/>
      <c r="E22" s="27"/>
      <c r="F22" s="27"/>
      <c r="G22" s="27"/>
      <c r="H22" s="27"/>
      <c r="I22" s="27"/>
      <c r="J22" s="27"/>
    </row>
    <row r="23">
      <c r="B23" s="27"/>
      <c r="C23" s="27"/>
      <c r="D23" s="27"/>
      <c r="E23" s="27"/>
      <c r="F23" s="27"/>
      <c r="G23" s="27"/>
      <c r="H23" s="27"/>
      <c r="I23" s="27"/>
      <c r="J23" s="27"/>
    </row>
    <row r="24">
      <c r="B24" s="27"/>
      <c r="C24" s="27"/>
      <c r="D24" s="27"/>
      <c r="E24" s="27"/>
      <c r="F24" s="27"/>
      <c r="G24" s="27"/>
      <c r="H24" s="27"/>
      <c r="I24" s="27"/>
      <c r="J24" s="27"/>
    </row>
  </sheetData>
  <mergeCells count="3">
    <mergeCell ref="B3:J3"/>
    <mergeCell ref="E5:G5"/>
    <mergeCell ref="I5:J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71"/>
    <col customWidth="1" min="2" max="2" width="18.29"/>
    <col customWidth="1" min="3" max="3" width="17.43"/>
    <col customWidth="1" min="4" max="4" width="10.71"/>
    <col customWidth="1" min="5" max="5" width="13.86"/>
    <col customWidth="1" min="6" max="8" width="10.71"/>
    <col customWidth="1" min="9" max="9" width="24.0"/>
    <col customWidth="1" min="10" max="26" width="10.71"/>
  </cols>
  <sheetData>
    <row r="1" ht="14.25" customHeight="1">
      <c r="A1" s="95" t="s">
        <v>70</v>
      </c>
      <c r="B1" s="2"/>
      <c r="C1" s="2"/>
      <c r="D1" s="2"/>
      <c r="E1" s="2"/>
      <c r="F1" s="2"/>
      <c r="G1" s="2"/>
      <c r="H1" s="2"/>
      <c r="I1" s="3" t="s">
        <v>1</v>
      </c>
      <c r="J1" s="4">
        <v>450.0</v>
      </c>
    </row>
    <row r="2" ht="14.25" customHeight="1">
      <c r="A2" s="5"/>
      <c r="B2" s="5"/>
      <c r="C2" s="6"/>
      <c r="D2" s="7"/>
      <c r="E2" s="8"/>
      <c r="F2" s="8"/>
      <c r="J2" s="8"/>
      <c r="M2" s="9" t="s">
        <v>2</v>
      </c>
      <c r="N2" s="10"/>
      <c r="O2" s="11">
        <f>E26/F16</f>
        <v>-0.05659468088</v>
      </c>
    </row>
    <row r="3" ht="14.25" customHeight="1">
      <c r="A3" s="12" t="s">
        <v>3</v>
      </c>
      <c r="B3" s="13"/>
      <c r="C3" s="13"/>
      <c r="D3" s="13"/>
      <c r="E3" s="13"/>
      <c r="F3" s="13"/>
      <c r="I3" s="50" t="s">
        <v>23</v>
      </c>
    </row>
    <row r="4" ht="14.25" customHeight="1">
      <c r="A4" s="15" t="s">
        <v>4</v>
      </c>
      <c r="B4" s="15" t="s">
        <v>5</v>
      </c>
      <c r="C4" s="15" t="s">
        <v>6</v>
      </c>
      <c r="D4" s="16" t="s">
        <v>7</v>
      </c>
      <c r="E4" s="17" t="s">
        <v>8</v>
      </c>
      <c r="F4" s="17" t="s">
        <v>9</v>
      </c>
      <c r="I4" s="15" t="s">
        <v>24</v>
      </c>
      <c r="J4" s="17" t="s">
        <v>25</v>
      </c>
    </row>
    <row r="5" ht="14.25" customHeight="1">
      <c r="A5" s="23">
        <v>45786.0</v>
      </c>
      <c r="B5" s="96" t="s">
        <v>71</v>
      </c>
      <c r="C5" s="6" t="s">
        <v>11</v>
      </c>
      <c r="D5" s="14">
        <v>5746.0</v>
      </c>
      <c r="E5" s="97">
        <v>4.8</v>
      </c>
      <c r="F5" s="8">
        <f t="shared" ref="F5:F7" si="1">ROUNDDOWN(D5*E5,0)</f>
        <v>27580</v>
      </c>
      <c r="H5" s="22"/>
      <c r="I5" s="22" t="s">
        <v>72</v>
      </c>
      <c r="J5" s="14">
        <v>600.0</v>
      </c>
    </row>
    <row r="6" ht="14.25" customHeight="1">
      <c r="A6" s="23">
        <v>45786.0</v>
      </c>
      <c r="B6" s="96" t="s">
        <v>71</v>
      </c>
      <c r="C6" s="6" t="s">
        <v>73</v>
      </c>
      <c r="D6" s="14">
        <v>120.0</v>
      </c>
      <c r="E6" s="97">
        <v>4.0</v>
      </c>
      <c r="F6" s="8">
        <f t="shared" si="1"/>
        <v>480</v>
      </c>
      <c r="H6" s="22"/>
      <c r="I6" s="22" t="s">
        <v>28</v>
      </c>
      <c r="J6" s="14">
        <v>120.0</v>
      </c>
    </row>
    <row r="7" ht="14.25" customHeight="1">
      <c r="A7" s="23">
        <v>45786.0</v>
      </c>
      <c r="B7" s="96" t="s">
        <v>71</v>
      </c>
      <c r="C7" s="6" t="s">
        <v>73</v>
      </c>
      <c r="D7" s="14">
        <v>190.0</v>
      </c>
      <c r="E7" s="97">
        <v>4.0</v>
      </c>
      <c r="F7" s="8">
        <f t="shared" si="1"/>
        <v>760</v>
      </c>
      <c r="H7" s="22"/>
      <c r="I7" s="22" t="s">
        <v>74</v>
      </c>
      <c r="J7" s="14">
        <v>100.0</v>
      </c>
    </row>
    <row r="8" ht="14.25" customHeight="1">
      <c r="A8" s="23"/>
      <c r="D8" s="24">
        <f>SUM(D5:D7)</f>
        <v>6056</v>
      </c>
      <c r="E8" s="25"/>
      <c r="F8" s="24">
        <f>SUM(F5:F7)</f>
        <v>28820</v>
      </c>
      <c r="G8" s="26" t="s">
        <v>14</v>
      </c>
      <c r="H8" s="22"/>
      <c r="I8" s="22" t="s">
        <v>75</v>
      </c>
      <c r="J8" s="8">
        <v>600.0</v>
      </c>
    </row>
    <row r="9" ht="14.25" customHeight="1">
      <c r="H9" s="22"/>
      <c r="I9" s="22" t="s">
        <v>76</v>
      </c>
      <c r="J9" s="8">
        <v>3000.0</v>
      </c>
    </row>
    <row r="10" ht="14.25" customHeight="1">
      <c r="H10" s="22"/>
      <c r="I10" s="56" t="s">
        <v>9</v>
      </c>
      <c r="J10" s="24">
        <f>SUM(J5:J9)</f>
        <v>4420</v>
      </c>
      <c r="K10" s="26" t="s">
        <v>35</v>
      </c>
    </row>
    <row r="11" ht="14.25" customHeight="1">
      <c r="H11" s="22"/>
      <c r="I11" s="58"/>
      <c r="J11" s="59"/>
      <c r="K11" s="8"/>
    </row>
    <row r="12" ht="14.25" customHeight="1">
      <c r="A12" s="12" t="s">
        <v>15</v>
      </c>
      <c r="B12" s="13"/>
      <c r="C12" s="13"/>
      <c r="D12" s="13"/>
      <c r="E12" s="13"/>
      <c r="F12" s="13"/>
      <c r="H12" s="22"/>
      <c r="J12" s="60"/>
      <c r="K12" s="22"/>
    </row>
    <row r="13" ht="14.25" customHeight="1">
      <c r="A13" s="29" t="s">
        <v>4</v>
      </c>
      <c r="B13" s="29" t="s">
        <v>16</v>
      </c>
      <c r="C13" s="15" t="s">
        <v>6</v>
      </c>
      <c r="D13" s="16" t="s">
        <v>7</v>
      </c>
      <c r="E13" s="17" t="s">
        <v>8</v>
      </c>
      <c r="F13" s="17" t="s">
        <v>9</v>
      </c>
      <c r="H13" s="22"/>
      <c r="I13" s="95" t="s">
        <v>37</v>
      </c>
      <c r="J13" s="2"/>
    </row>
    <row r="14" ht="14.25" customHeight="1">
      <c r="A14" s="23">
        <v>45787.0</v>
      </c>
      <c r="B14" s="6" t="s">
        <v>77</v>
      </c>
      <c r="C14" s="6" t="s">
        <v>18</v>
      </c>
      <c r="D14" s="41">
        <v>6640.2</v>
      </c>
      <c r="E14" s="8">
        <v>5.0</v>
      </c>
      <c r="F14" s="8">
        <f>D14*E14</f>
        <v>33201</v>
      </c>
      <c r="H14" s="22"/>
      <c r="I14" s="22" t="s">
        <v>38</v>
      </c>
      <c r="J14" s="8">
        <f>ROUNDDOWN(D16*0.1,0)</f>
        <v>664</v>
      </c>
    </row>
    <row r="15" ht="14.25" customHeight="1">
      <c r="A15" s="23"/>
      <c r="B15" s="6"/>
      <c r="C15" s="6"/>
      <c r="D15" s="41"/>
      <c r="E15" s="8"/>
      <c r="F15" s="8"/>
      <c r="G15" s="8"/>
      <c r="H15" s="22"/>
      <c r="I15" s="22" t="s">
        <v>28</v>
      </c>
      <c r="J15" s="8">
        <v>70.0</v>
      </c>
    </row>
    <row r="16" ht="14.25" customHeight="1">
      <c r="A16" s="37" t="s">
        <v>19</v>
      </c>
      <c r="B16" s="37"/>
      <c r="C16" s="6"/>
      <c r="D16" s="39">
        <f>SUM(D14:D15)</f>
        <v>6640.2</v>
      </c>
      <c r="E16" s="8"/>
      <c r="F16" s="39">
        <f>SUM(F14:F15)</f>
        <v>33201</v>
      </c>
      <c r="G16" s="26" t="s">
        <v>20</v>
      </c>
      <c r="H16" s="22"/>
      <c r="I16" s="22" t="s">
        <v>39</v>
      </c>
      <c r="J16" s="8">
        <f>IF(F16&lt;50000,50,IF(F16&lt;100000,100,150))</f>
        <v>50</v>
      </c>
    </row>
    <row r="17" ht="14.25" customHeight="1">
      <c r="A17" s="23"/>
      <c r="B17" s="5"/>
      <c r="C17" s="6"/>
      <c r="D17" s="41"/>
      <c r="E17" s="8"/>
      <c r="F17" s="8"/>
      <c r="H17" s="22"/>
      <c r="I17" s="22" t="s">
        <v>42</v>
      </c>
      <c r="J17" s="8">
        <f>ROUNDDOWN(D16*0.001,0)*10</f>
        <v>60</v>
      </c>
    </row>
    <row r="18" ht="14.25" customHeight="1">
      <c r="A18" s="5"/>
      <c r="B18" s="5"/>
      <c r="C18" s="6"/>
      <c r="D18" s="7"/>
      <c r="E18" s="8"/>
      <c r="F18" s="8"/>
      <c r="I18" s="22" t="s">
        <v>43</v>
      </c>
      <c r="J18" s="8">
        <f>ROUNDDOWN(0.03*F16,0)</f>
        <v>996</v>
      </c>
    </row>
    <row r="19" ht="14.25" customHeight="1">
      <c r="A19" s="42" t="s">
        <v>21</v>
      </c>
      <c r="B19" s="43"/>
      <c r="C19" s="44"/>
      <c r="D19" s="45">
        <f>+D16-D8</f>
        <v>584.2</v>
      </c>
      <c r="E19" s="8"/>
      <c r="F19" s="8"/>
      <c r="I19" s="56" t="s">
        <v>9</v>
      </c>
      <c r="J19" s="24">
        <f>ROUNDDOWN(SUM(J14:J18),0)</f>
        <v>1840</v>
      </c>
      <c r="K19" s="26" t="s">
        <v>44</v>
      </c>
    </row>
    <row r="20" ht="14.25" customHeight="1">
      <c r="A20" s="5"/>
      <c r="B20" s="5"/>
      <c r="C20" s="6"/>
      <c r="D20" s="7"/>
      <c r="E20" s="8"/>
      <c r="F20" s="8"/>
    </row>
    <row r="21" ht="14.25" customHeight="1">
      <c r="A21" s="5"/>
      <c r="B21" s="5"/>
      <c r="C21" s="69" t="s">
        <v>47</v>
      </c>
      <c r="D21" s="2"/>
      <c r="E21" s="2"/>
      <c r="F21" s="8"/>
    </row>
    <row r="22" ht="14.25" customHeight="1">
      <c r="A22" s="5"/>
      <c r="B22" s="70" t="s">
        <v>20</v>
      </c>
      <c r="C22" s="71" t="str">
        <f>+A12</f>
        <v>VENTA</v>
      </c>
      <c r="D22" s="7"/>
      <c r="E22" s="8">
        <f>+F16</f>
        <v>33201</v>
      </c>
      <c r="F22" s="8"/>
    </row>
    <row r="23" ht="14.25" customHeight="1">
      <c r="A23" s="5"/>
      <c r="B23" s="70" t="s">
        <v>14</v>
      </c>
      <c r="C23" s="71" t="str">
        <f>+A3</f>
        <v>COMPRA</v>
      </c>
      <c r="D23" s="7"/>
      <c r="E23" s="8">
        <f>-F8</f>
        <v>-28820</v>
      </c>
      <c r="F23" s="8"/>
    </row>
    <row r="24" ht="14.25" customHeight="1">
      <c r="A24" s="5"/>
      <c r="B24" s="70" t="s">
        <v>35</v>
      </c>
      <c r="C24" s="72" t="str">
        <f>+I3</f>
        <v>GASTOS MUELLE</v>
      </c>
      <c r="D24" s="7"/>
      <c r="E24" s="8">
        <f>-J10</f>
        <v>-4420</v>
      </c>
      <c r="F24" s="8"/>
    </row>
    <row r="25" ht="14.25" customHeight="1">
      <c r="A25" s="5"/>
      <c r="B25" s="70" t="s">
        <v>44</v>
      </c>
      <c r="C25" s="72" t="str">
        <f>+I13</f>
        <v>GASTOS ADMINISTRATIVO</v>
      </c>
      <c r="D25" s="7"/>
      <c r="E25" s="8">
        <f>-J19</f>
        <v>-1840</v>
      </c>
      <c r="F25" s="8"/>
    </row>
    <row r="26" ht="14.25" customHeight="1">
      <c r="A26" s="5"/>
      <c r="B26" s="5"/>
      <c r="C26" s="37" t="s">
        <v>9</v>
      </c>
      <c r="D26" s="7"/>
      <c r="E26" s="24">
        <f>SUM(E22:E25)</f>
        <v>-1879</v>
      </c>
    </row>
    <row r="27" ht="14.25" customHeight="1"/>
    <row r="28" ht="14.25" customHeight="1">
      <c r="C28" s="73">
        <v>0.6</v>
      </c>
      <c r="D28" s="74" t="s">
        <v>49</v>
      </c>
      <c r="E28" s="75">
        <f>ROUNDDOWN(E26*C28,0)</f>
        <v>-1127</v>
      </c>
    </row>
    <row r="29" ht="14.25" customHeight="1">
      <c r="C29" s="76">
        <v>0.4</v>
      </c>
      <c r="D29" s="77" t="s">
        <v>50</v>
      </c>
      <c r="E29" s="78">
        <f>ROUNDDOWN(E26*C29,0)</f>
        <v>-751</v>
      </c>
    </row>
    <row r="30" ht="14.25" customHeight="1"/>
    <row r="31" ht="14.25" customHeight="1"/>
    <row r="32" ht="14.25" customHeight="1">
      <c r="G32" s="14" t="s">
        <v>78</v>
      </c>
    </row>
    <row r="33" ht="14.25" customHeight="1">
      <c r="G33" s="41"/>
    </row>
    <row r="34" ht="14.25" customHeight="1">
      <c r="E34" s="8"/>
      <c r="G34" s="41"/>
    </row>
    <row r="35" ht="14.25" customHeight="1">
      <c r="H35" s="8"/>
    </row>
    <row r="36" ht="14.25" customHeight="1"/>
    <row r="37" ht="14.25" customHeight="1"/>
    <row r="38" ht="14.25" customHeight="1">
      <c r="C38" s="98" t="s">
        <v>79</v>
      </c>
      <c r="D38" s="89"/>
      <c r="E38" s="99"/>
    </row>
    <row r="39" ht="14.25" customHeight="1"/>
    <row r="40" ht="14.25" customHeight="1">
      <c r="C40" s="79" t="s">
        <v>15</v>
      </c>
      <c r="D40" s="79" t="s">
        <v>3</v>
      </c>
      <c r="E40" s="80" t="s">
        <v>21</v>
      </c>
    </row>
    <row r="41" ht="14.25" customHeight="1">
      <c r="C41" s="81">
        <v>13500.9</v>
      </c>
      <c r="D41" s="81">
        <v>11760.0</v>
      </c>
      <c r="E41" s="82">
        <f>C41-D41</f>
        <v>1740.9</v>
      </c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</sheetData>
  <mergeCells count="7">
    <mergeCell ref="A1:H1"/>
    <mergeCell ref="A3:F3"/>
    <mergeCell ref="I3:J3"/>
    <mergeCell ref="A12:F12"/>
    <mergeCell ref="I13:J13"/>
    <mergeCell ref="C21:E21"/>
    <mergeCell ref="C38:E38"/>
  </mergeCells>
  <printOptions/>
  <pageMargins bottom="0.665384384203883" footer="0.0" header="0.0" left="0.3732644106509587" right="0.0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2024-05-29T14:40:13Z</dcterms:created>
  <dc:creator>ADMIN</dc:creator>
</cp:coreProperties>
</file>